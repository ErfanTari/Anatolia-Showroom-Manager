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T:\Anatolia Factory\Temporary Showroom\"/>
    </mc:Choice>
  </mc:AlternateContent>
  <xr:revisionPtr revIDLastSave="0" documentId="8_{A91289E2-B515-44EF-898F-C9116BB18AC7}" xr6:coauthVersionLast="47" xr6:coauthVersionMax="47" xr10:uidLastSave="{00000000-0000-0000-0000-000000000000}"/>
  <bookViews>
    <workbookView xWindow="-57720" yWindow="-60" windowWidth="29040" windowHeight="15720" xr2:uid="{6E0634C2-BD79-464A-9E6F-F4866E2C5190}"/>
  </bookViews>
  <sheets>
    <sheet name="APS_20260609" sheetId="1" r:id="rId1"/>
    <sheet name="APS_Temp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4" i="2" l="1"/>
  <c r="K53" i="2"/>
  <c r="K52" i="2"/>
  <c r="K51" i="2"/>
  <c r="K50" i="2"/>
  <c r="K49" i="2"/>
  <c r="K48" i="2"/>
  <c r="K47" i="2"/>
  <c r="K46" i="2"/>
  <c r="K45" i="2"/>
  <c r="K44" i="2"/>
  <c r="K43" i="2"/>
  <c r="K42" i="2"/>
  <c r="K41" i="2"/>
  <c r="K40" i="2"/>
  <c r="K39" i="2"/>
  <c r="K38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  <c r="K2" i="2"/>
  <c r="L136" i="1" l="1"/>
  <c r="L135" i="1"/>
  <c r="L134" i="1"/>
  <c r="L133" i="1"/>
  <c r="L132" i="1"/>
  <c r="L130" i="1"/>
  <c r="L129" i="1"/>
  <c r="L128" i="1"/>
  <c r="L127" i="1"/>
  <c r="L126" i="1"/>
  <c r="L125" i="1"/>
  <c r="L124" i="1"/>
  <c r="L123" i="1"/>
  <c r="L122" i="1"/>
  <c r="L121" i="1"/>
  <c r="L120" i="1"/>
  <c r="L119" i="1"/>
  <c r="L118" i="1"/>
  <c r="L117" i="1"/>
  <c r="L116" i="1"/>
  <c r="L115" i="1"/>
  <c r="L114" i="1"/>
  <c r="L113" i="1"/>
  <c r="L112" i="1"/>
  <c r="L111" i="1"/>
  <c r="L110" i="1"/>
  <c r="L109" i="1"/>
  <c r="L108" i="1"/>
  <c r="L107" i="1"/>
  <c r="L106" i="1"/>
  <c r="L105" i="1"/>
  <c r="L104" i="1"/>
  <c r="L103" i="1"/>
  <c r="L102" i="1"/>
  <c r="L101" i="1"/>
  <c r="L100" i="1"/>
  <c r="L99" i="1"/>
  <c r="L98" i="1"/>
  <c r="L97" i="1"/>
  <c r="L96" i="1"/>
  <c r="L95" i="1"/>
  <c r="L94" i="1"/>
  <c r="L93" i="1"/>
  <c r="L92" i="1"/>
  <c r="L91" i="1"/>
  <c r="L90" i="1"/>
  <c r="L89" i="1"/>
  <c r="L88" i="1"/>
  <c r="L87" i="1"/>
  <c r="L86" i="1"/>
  <c r="L85" i="1"/>
  <c r="L84" i="1"/>
  <c r="L83" i="1"/>
  <c r="L82" i="1"/>
  <c r="L81" i="1"/>
  <c r="L80" i="1"/>
  <c r="L79" i="1"/>
  <c r="L78" i="1"/>
  <c r="L77" i="1"/>
  <c r="L76" i="1"/>
  <c r="L75" i="1"/>
  <c r="L74" i="1"/>
  <c r="L73" i="1"/>
  <c r="L72" i="1"/>
  <c r="L71" i="1"/>
  <c r="L70" i="1"/>
  <c r="L69" i="1"/>
  <c r="L68" i="1"/>
  <c r="L67" i="1"/>
  <c r="L66" i="1"/>
  <c r="L65" i="1"/>
  <c r="L64" i="1"/>
  <c r="L63" i="1"/>
  <c r="L62" i="1"/>
  <c r="L61" i="1"/>
  <c r="L60" i="1"/>
  <c r="L59" i="1"/>
  <c r="L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L31" i="1"/>
  <c r="L30" i="1"/>
  <c r="L29" i="1"/>
  <c r="L28" i="1"/>
  <c r="L27" i="1"/>
  <c r="L26" i="1"/>
  <c r="L24" i="1"/>
  <c r="L25" i="1"/>
  <c r="L23" i="1"/>
  <c r="L22" i="1"/>
  <c r="L21" i="1"/>
  <c r="L19" i="1"/>
  <c r="L18" i="1"/>
  <c r="L16" i="1"/>
  <c r="L13" i="1"/>
  <c r="L20" i="1"/>
  <c r="L15" i="1"/>
  <c r="L17" i="1"/>
  <c r="L14" i="1"/>
  <c r="L12" i="1"/>
  <c r="L11" i="1"/>
  <c r="L10" i="1"/>
  <c r="L9" i="1"/>
  <c r="L8" i="1"/>
  <c r="L7" i="1"/>
  <c r="L6" i="1"/>
  <c r="L5" i="1"/>
  <c r="L4" i="1"/>
  <c r="L3" i="1"/>
  <c r="L2" i="1"/>
</calcChain>
</file>

<file path=xl/sharedStrings.xml><?xml version="1.0" encoding="utf-8"?>
<sst xmlns="http://schemas.openxmlformats.org/spreadsheetml/2006/main" count="1776" uniqueCount="700">
  <si>
    <t>Location</t>
  </si>
  <si>
    <t>Area</t>
  </si>
  <si>
    <t>Product</t>
  </si>
  <si>
    <t>Size</t>
  </si>
  <si>
    <t>Colour</t>
  </si>
  <si>
    <t>Finish</t>
  </si>
  <si>
    <t>Thickness</t>
  </si>
  <si>
    <t># of "A" faces</t>
  </si>
  <si>
    <t># of "B" faces</t>
  </si>
  <si>
    <t>Extra "A" faces</t>
  </si>
  <si>
    <t>Extra "B" faces</t>
  </si>
  <si>
    <t>Total</t>
  </si>
  <si>
    <t>Product No</t>
  </si>
  <si>
    <t>Descripcion</t>
  </si>
  <si>
    <t>Room 4</t>
  </si>
  <si>
    <t>Slab 1</t>
  </si>
  <si>
    <t>Sintered Slab</t>
  </si>
  <si>
    <t>160 x 320 cm</t>
  </si>
  <si>
    <t>Onyx Halo</t>
  </si>
  <si>
    <t>Honed</t>
  </si>
  <si>
    <t>12 mm</t>
  </si>
  <si>
    <t>8000-0467-1</t>
  </si>
  <si>
    <t>162 x 322 cm / 64 x 127 in Onyx Halo Block 44 Bookmatch Cut Honed Colorsync Sintered Slab 12 mm / 0.47 in</t>
  </si>
  <si>
    <t>Slab 2</t>
  </si>
  <si>
    <t>Monoforma Silhouette</t>
  </si>
  <si>
    <t>Polished</t>
  </si>
  <si>
    <t>8000-0521-1</t>
  </si>
  <si>
    <t>162 x 322 cm / 64 x 127 in Monoforma Silhouette Polished Unglazed Sintered Slab 12 mm / 0.47 in</t>
  </si>
  <si>
    <t>Slab 3</t>
  </si>
  <si>
    <t>Armani Noir</t>
  </si>
  <si>
    <t>6 mm</t>
  </si>
  <si>
    <t>8000-0186-0</t>
  </si>
  <si>
    <t>160 x 320 cm / 63 x 126 in Armani Noir Block 17 Bookmatch Cut Honed Rectified Colorsync Sintered Slab 6 mm / 0.24 in</t>
  </si>
  <si>
    <t>Slab 4</t>
  </si>
  <si>
    <t>Calacatta Carrara</t>
  </si>
  <si>
    <t>8000-0046-0</t>
  </si>
  <si>
    <t>160 x 320 cm / 63 x 126 in Calacatta Carrara Block 23 Bookmatch Cut Honed Rectified Colorsync Sintered Slab 6 mm / 0.24 in</t>
  </si>
  <si>
    <t>Slab 5</t>
  </si>
  <si>
    <t>Fusion White</t>
  </si>
  <si>
    <t>8000-0246-0</t>
  </si>
  <si>
    <t>160 x 320 cm / 63 x 126 in Fusion White Block 27 Bookmatch Cut Honed Rectified Colorsync Sintered Slab 6 mm / 0.24 in</t>
  </si>
  <si>
    <t>Slab 6</t>
  </si>
  <si>
    <t xml:space="preserve">Publica Thunder </t>
  </si>
  <si>
    <t>Organic Matte</t>
  </si>
  <si>
    <t>8000-0565-0</t>
  </si>
  <si>
    <t>160 x 320 cm / 63 x 126 in Publica Thunder Organic Matte Rectified Colorsync Sintered Slab 6 mm / 0.24 in</t>
  </si>
  <si>
    <t>Slab 7</t>
  </si>
  <si>
    <t>Nero Marquina</t>
  </si>
  <si>
    <t>8000-0268-1</t>
  </si>
  <si>
    <t>160 x 320 cm / 63 x 126 in Nero Marquina Block 26 Bookmatch Cut Polished Rectified Colorsync Sintered Slab 6 mm / 0.24 in</t>
  </si>
  <si>
    <t>Slab 8</t>
  </si>
  <si>
    <t>162 x 322 cm</t>
  </si>
  <si>
    <t xml:space="preserve">Montagna Jade </t>
  </si>
  <si>
    <t>8000-0262-0</t>
  </si>
  <si>
    <t>160 x 320 cm / 63 x 126 in Montagna Jade Block 14 Bookmatch Cut Honed Rectified Colorsync Sintered Slab 6 mm / 0.24 in</t>
  </si>
  <si>
    <t>Slab 9</t>
  </si>
  <si>
    <t>Serena Flint</t>
  </si>
  <si>
    <t>8000-0543-1</t>
  </si>
  <si>
    <t>160 x 320 cm / 63 x 126 in Serena Flint Honed Rectified Colorsync Sintered Slab 6 mm / 0.24 in</t>
  </si>
  <si>
    <t>Slab 10</t>
  </si>
  <si>
    <t>Travertino Titanium</t>
  </si>
  <si>
    <t>Grained</t>
  </si>
  <si>
    <t>8000-0538-0</t>
  </si>
  <si>
    <t>160 x 320 cm / 63 x 126 in Travertino Titanium Grained Rectified Colorsync Sintered Slab 6 mm / 0.24 in</t>
  </si>
  <si>
    <t>Slab 11</t>
  </si>
  <si>
    <t>Super White</t>
  </si>
  <si>
    <t>8000-0294-0</t>
  </si>
  <si>
    <t>160 x 320 cm / 63 x 126 in Super White Block 28 Bookmatch Cut Honed Rectified Colorsync Sintered Slab 6 mm / 0.24 in</t>
  </si>
  <si>
    <t>Slab 13</t>
  </si>
  <si>
    <t>Cristallo</t>
  </si>
  <si>
    <t>8000-0232-0</t>
  </si>
  <si>
    <t>160 x 320 cm / 63 x 126 in Cristallo Block 13 Bookmatch Cut Polished Rectified Colorsync Sintered Slab 6 mm / 0.24 in</t>
  </si>
  <si>
    <t>Slab 16</t>
  </si>
  <si>
    <t>French Vanilla</t>
  </si>
  <si>
    <t>8000-0529-0</t>
  </si>
  <si>
    <t>160 x 320 cm / 63 x 126 in French Vanilla Polished Rectified Colorsync Sintered Slab 6 mm / 0.24 in</t>
  </si>
  <si>
    <t>Slab 14</t>
  </si>
  <si>
    <t>Calacatta Viola</t>
  </si>
  <si>
    <t>8000-0048-0</t>
  </si>
  <si>
    <t>160 x 320 cm / 63 x 126 in Calacatta Viola Block 41 Bookmatch Cut Polished Rectified Colorsync Sintered Slab 6 mm / 0.24 in</t>
  </si>
  <si>
    <t>Slab 19</t>
  </si>
  <si>
    <t>Lithoform Crosscut Dunes</t>
  </si>
  <si>
    <t>Vintage</t>
  </si>
  <si>
    <t>8000-0549-0</t>
  </si>
  <si>
    <t>160 x 320 cm / 63 x 126 in Lithoform Crosscut Dunes Vintage Rectified Colorsync Sintered Slab 6 mm / 0.24 in</t>
  </si>
  <si>
    <t>Slab 12</t>
  </si>
  <si>
    <t>Publica Terrain</t>
  </si>
  <si>
    <t>Patinated</t>
  </si>
  <si>
    <t>8000-0562-0</t>
  </si>
  <si>
    <t>160 x 320 cm / 63 x 126 in Publica Terrain Patinated Rectified Colorsync Sintered Slab 6 mm / 0.24 in</t>
  </si>
  <si>
    <t>Slab 15</t>
  </si>
  <si>
    <t>Publica Horizon</t>
  </si>
  <si>
    <t>8000-0560-0</t>
  </si>
  <si>
    <t>160 x 320 cm / 63 x 126 in Publica Horizon Patinated Rectified Colorsync Sintered Slab 6 mm / 0.24 in</t>
  </si>
  <si>
    <t>Slab 17</t>
  </si>
  <si>
    <t>Serena Crater</t>
  </si>
  <si>
    <t>8000-0541-1</t>
  </si>
  <si>
    <t>160 x 320 cm / 63 x 126 in Serena Crater Honed Rectified Colorsync Sintered Slab 6 mm / 0.24 in</t>
  </si>
  <si>
    <t>Slab 18</t>
  </si>
  <si>
    <t>Marina White</t>
  </si>
  <si>
    <t>8000-0256-0</t>
  </si>
  <si>
    <t>160 x 320 cm / 63 x 126 in Marina White Block 46 Bookmatch Cut Polished Rectified Colorsync Sintered Slab 6 mm / 0.24 in</t>
  </si>
  <si>
    <t>Slab 20</t>
  </si>
  <si>
    <t>Travertino Classico</t>
  </si>
  <si>
    <t>8000-0577-0</t>
  </si>
  <si>
    <t>160 x 320 cm / 63 x 126 in Travertino Classico Grained Rectified Colorsync Sintered Slab 6 mm / 0.24 in</t>
  </si>
  <si>
    <t>Slab 21</t>
  </si>
  <si>
    <t>Taj Mahal</t>
  </si>
  <si>
    <t>8000-0599-0</t>
  </si>
  <si>
    <t>160 x 320 cm / 63 x 126 in Taj Mahal Honed Rectified Colorsync Sintered Slab 6 mm / 0.24 in</t>
  </si>
  <si>
    <t>Slab 22</t>
  </si>
  <si>
    <t>Monoforma Storm</t>
  </si>
  <si>
    <t>8000-0519-1</t>
  </si>
  <si>
    <t>162 x 322 cm / 64 x 127 in Monoforma Storm Polished Unglazed Sintered Slab 12 mm / 0.47 in</t>
  </si>
  <si>
    <t>Slab 24</t>
  </si>
  <si>
    <t>Calacatta Noir</t>
  </si>
  <si>
    <t>Satin</t>
  </si>
  <si>
    <t>8000-0476-1</t>
  </si>
  <si>
    <t>162 x 322 cm / 64 x 127 in Calacatta Noir Block 34 Bookmatch Cut Satin Colorsync Sintered Slab 12 mm / 0.47 in</t>
  </si>
  <si>
    <t>Slab 23</t>
  </si>
  <si>
    <t>Colorado Lincoln</t>
  </si>
  <si>
    <t>8000-0463-1</t>
  </si>
  <si>
    <t>162 x 322 cm / 64 x 127 in Colorado Lincoln Block 81 Bookmatch Cut Polished ColorsyncSintered Slab 12 mm / 0.47 in</t>
  </si>
  <si>
    <t>Room 5</t>
  </si>
  <si>
    <t>Mini Slab 01</t>
  </si>
  <si>
    <t>120 x 280 cm</t>
  </si>
  <si>
    <t>Lithoform Crosscut Twilight</t>
  </si>
  <si>
    <t>8500-0089-0</t>
  </si>
  <si>
    <t>120 x 280 cm / 48 x 110 in Lithoform Crosscut Twilight Honed Rectified Colorsync Sintered Slab 6 mm / 0.24 in</t>
  </si>
  <si>
    <t>Mini Slab 02</t>
  </si>
  <si>
    <t>Lithoform Veincut Twilight</t>
  </si>
  <si>
    <t>8500-0101-0</t>
  </si>
  <si>
    <t>120 x 280 cm / 48 x 110 in Lithoform Veincut Twilight Honed Rectified Colorsync Sintered Slab 6 mm / 0.24 in</t>
  </si>
  <si>
    <t>Mini Slab 03</t>
  </si>
  <si>
    <t>Lustra Onyx Feather</t>
  </si>
  <si>
    <t>8500-0686-0</t>
  </si>
  <si>
    <t>120 x 280 cm / 48 x 110 in Lustra Onyx Feather Polished Rectified Colorsync Porcelain Slab 6 mm / 0.24 in</t>
  </si>
  <si>
    <t>Mini Slab 04</t>
  </si>
  <si>
    <t>Majesto Arabescato Corchia</t>
  </si>
  <si>
    <t>8500-0013-1</t>
  </si>
  <si>
    <t>120 x 280 cm / 48 x 110 in Majesto Arabescato Corchia Honed Rectified Colorsync Sintered Slab 6 mm / 0.24 in</t>
  </si>
  <si>
    <t>Mini Slab 05</t>
  </si>
  <si>
    <t>Majesto Atlantic Ocean</t>
  </si>
  <si>
    <t>8500-0053-0</t>
  </si>
  <si>
    <t>120 x 280 cm / 48 x 110 in Majesto Atlantic Ocean Polished Rectified Colorsync Sintered Slab 6 mm / 0.24 in</t>
  </si>
  <si>
    <t>Mini Slab 06</t>
  </si>
  <si>
    <t>Majesto Bianco Dior</t>
  </si>
  <si>
    <t>8500-0046-0</t>
  </si>
  <si>
    <t>120 x 280 cm / 48 x 110 in Majesto Bianco Dior Bookmatch Cut Polished Rectified Colorsync Sintered Slab 6 mm / 0.24 in</t>
  </si>
  <si>
    <t>Mini Slab 07</t>
  </si>
  <si>
    <t>Majesto Calacatta Borghini</t>
  </si>
  <si>
    <t>8500-0033-1</t>
  </si>
  <si>
    <t>120 x 280 cm / 48 x 110 in Majesto Calacatta Borghini Honed Rectified Colorsync Sintered Slab 6 mm / 0.24 in</t>
  </si>
  <si>
    <t>Mini Slab 08</t>
  </si>
  <si>
    <t>Majesto Calacatta Corchia</t>
  </si>
  <si>
    <t>8500-0018-0</t>
  </si>
  <si>
    <t>120 x 280 cm / 48 x 110 in Majesto Calacatta Corchia Polished Rectified Colorsync Sintered Slab 6 mm / 0.24 in</t>
  </si>
  <si>
    <t>Mini Slab 09</t>
  </si>
  <si>
    <t>Serena Pewter</t>
  </si>
  <si>
    <t>8500-0074-0</t>
  </si>
  <si>
    <t>120 x 280 cm / 48 x 110 in Serena Pewter Honed Rectified Colorsync Sintered Slab 6 mm / 0.24 in</t>
  </si>
  <si>
    <t>Mini Slab 10</t>
  </si>
  <si>
    <t>Majesto Verdi Alpi</t>
  </si>
  <si>
    <t>8500-0041-1</t>
  </si>
  <si>
    <t>120 x 280 cm / 48 x 110 in Majesto Verdi Alpi Honed Rectified Colorsync Sintered Slab 6 mm / 0.24 in</t>
  </si>
  <si>
    <t>Mini Slab 12</t>
  </si>
  <si>
    <t>Majesto Crystal Bianco</t>
  </si>
  <si>
    <t>8500-0057-1</t>
  </si>
  <si>
    <t>120 x 280 cm / 48 x 110 in Majesto Crystal Bianco Honed Rectified Colorsync Sintered Slab 6 mm / 0.24 in</t>
  </si>
  <si>
    <t>Mini Slab 11</t>
  </si>
  <si>
    <t>Lustra Onyx Sage</t>
  </si>
  <si>
    <t>8500-0064-0</t>
  </si>
  <si>
    <t>120 x 280 cm / 48 x 110 in Lustra Onyx Sage Polished Rectified Colorsync Sintered Slab 6 mm / 0.24 in</t>
  </si>
  <si>
    <t>Mini Slab 13</t>
  </si>
  <si>
    <t>Majesto Forge Eleganza</t>
  </si>
  <si>
    <t>8500-0039-0</t>
  </si>
  <si>
    <t>120 x 280 cm / 48 x 110 in Majesto Forge Eleganza Honed Rectified Colorsync Sintered Slab 6 mm / 0.24 in</t>
  </si>
  <si>
    <t>Mini Slab 14</t>
  </si>
  <si>
    <t>Majesto Statuario</t>
  </si>
  <si>
    <t>8500-0014-0</t>
  </si>
  <si>
    <t>120 x 280 cm / 48 x 110 in Majesto Statuario Polished Rectified Colorsync Sintered Slab 6 mm / 0.24 in</t>
  </si>
  <si>
    <t>Mini Slab 15</t>
  </si>
  <si>
    <t>Monoforma Moonlight</t>
  </si>
  <si>
    <t>Silk</t>
  </si>
  <si>
    <t>8500-0111-0</t>
  </si>
  <si>
    <t>120 x 280 cm / 48 x 110 in Monoforma Moonlight Silk Rectified Unglazed Sintered Slab 6 mm / 0.24 in</t>
  </si>
  <si>
    <t>Mini Slab 16</t>
  </si>
  <si>
    <t>Serena Valley</t>
  </si>
  <si>
    <t>8500-0078-0</t>
  </si>
  <si>
    <t>120 x 280 cm / 48 x 110 in Serena Valley Honed Rectified Colorsync Sintered Slab 6 mm / 0.24 in</t>
  </si>
  <si>
    <t>Mini Slab 17</t>
  </si>
  <si>
    <t>Lustra Onyx Hazel</t>
  </si>
  <si>
    <t>8500-0067-0</t>
  </si>
  <si>
    <t>120 x 280 cm / 48 x 110 in Lustra Onyx Hazel Honed Rectified Colorsync Sintered Slab 6 mm / 0.24 in</t>
  </si>
  <si>
    <t>Mini Slab 18</t>
  </si>
  <si>
    <t>8500-0080-0</t>
  </si>
  <si>
    <t>120 x 280 cm / 48 x 110 in Lithoform Crosscut Dunes Honed Rectified Colorsync Sintered Slab 6 mm / 0.24 in</t>
  </si>
  <si>
    <t>Mini Slab 22</t>
  </si>
  <si>
    <t>Lithoform Veincut Dunes</t>
  </si>
  <si>
    <t>8500-0092-0</t>
  </si>
  <si>
    <t>120 x 280 cm / 48 x 110 in Lithoform Veincut Dunes Honed Rectified Colorsync Sintered Slab 6 mm / 0.24 in</t>
  </si>
  <si>
    <t>Mini Slab 19</t>
  </si>
  <si>
    <t>Majesto Macchia Vecchia</t>
  </si>
  <si>
    <t>8500-0042-0</t>
  </si>
  <si>
    <t>120 x 280 cm / 48 x 110 in Majesto Macchia Vecchia Bookmatch Cut Polished Rectified Colorsync Sintered Slab 6 mm / 0.24 in</t>
  </si>
  <si>
    <t>Mini Slab 20</t>
  </si>
  <si>
    <t>Majesto Calacatta Cremo</t>
  </si>
  <si>
    <t>8500-0027-1</t>
  </si>
  <si>
    <t>120 x 280 cm / 48 x 110 in Majesto Calacatta Cremo Honed Rectified Colorsync Sintered Slab 6 mm / 0.24 in</t>
  </si>
  <si>
    <t>Mini Slab 21</t>
  </si>
  <si>
    <t>Majesto Oro Noir</t>
  </si>
  <si>
    <t>8500-0045-0</t>
  </si>
  <si>
    <t>120 x 280 cm / 48 x 110 in Majesto Oro Noir Bookmatch Cut Honed Rectified Colorsync Sintered Slab 6 mm / 0.24 in</t>
  </si>
  <si>
    <t>Mini Slab 23</t>
  </si>
  <si>
    <t>Lustra Onyx Crema</t>
  </si>
  <si>
    <t>8500-0063-0</t>
  </si>
  <si>
    <t>120 x 280 cm / 48 x 110 in Lustra Onyx Crema Honed Rectified Colorsync Sintered Slab 6 mm / 0.24 in</t>
  </si>
  <si>
    <t>Mini Slab 24</t>
  </si>
  <si>
    <t>Majesto Sahara Noir</t>
  </si>
  <si>
    <t>Room 6</t>
  </si>
  <si>
    <t>Waterfall Display 01</t>
  </si>
  <si>
    <t>60 x 280 cm</t>
  </si>
  <si>
    <t>Lithoform Crosscut Coast</t>
  </si>
  <si>
    <t>8500-0083-0</t>
  </si>
  <si>
    <t>120 x 280 cm / 48 x 110 in Lithoform Crosscut Coast Honed Rectified Colorsync Sintered Slab 6 mm / 0.24 in</t>
  </si>
  <si>
    <t>Waterfall Display 02</t>
  </si>
  <si>
    <t>Lithoform Veincut Coast</t>
  </si>
  <si>
    <t>8500-0095-0</t>
  </si>
  <si>
    <t>120 x 280 cm / 48 x 110 in Lithoform Veincut Coast Honed Rectified Colorsync Sintered Slab 6 mm / 0.24 in</t>
  </si>
  <si>
    <t>Waterfall Display 03</t>
  </si>
  <si>
    <t>Majesto Gemma Bronze</t>
  </si>
  <si>
    <t>8500-0031-0</t>
  </si>
  <si>
    <t>120 x 280 cm / 48 x 110 in Majesto Gemma Bronze Bookmatch Cut Honed Rectified Colorsync Sintered Slab 6 mm / 0.24 in</t>
  </si>
  <si>
    <t>Waterfall Display 04</t>
  </si>
  <si>
    <t>Majesto French Vanilla</t>
  </si>
  <si>
    <t>8500-0037-0</t>
  </si>
  <si>
    <t>120 x 280 cm / 48 x 110 in Majesto French Vanilla Honed Rectified Colorsync Sintered Slab 6 mm / 0.24 in</t>
  </si>
  <si>
    <t>Waterfall Display 05</t>
  </si>
  <si>
    <t>8500-0070-1</t>
  </si>
  <si>
    <t>120 x 280 cm / 48 x 110 in Serena Crater Honed Rectified Colorsync Sintered Slab 6 mm / 0.24 in</t>
  </si>
  <si>
    <t>Waterfall Display 06</t>
  </si>
  <si>
    <t>Majesto Calacatta Noir</t>
  </si>
  <si>
    <t>8500-0051-1</t>
  </si>
  <si>
    <t>120 x 280 cm / 48 x 110 in Majesto Calacatta Noir Honed Rectified Colorsync Sintered Slab 6 mm / 0.24 in</t>
  </si>
  <si>
    <t>Waterfall Display 07</t>
  </si>
  <si>
    <t>Monoforma Oasis</t>
  </si>
  <si>
    <t>8500-0113-0</t>
  </si>
  <si>
    <t>120 x 280 cm / 48 x 110 in Monoforma Oasis Silk Rectified Unglazed Sintered Slab 6 mm / 0.24 in</t>
  </si>
  <si>
    <t>Waterfall Display 08</t>
  </si>
  <si>
    <t>Majesto Taj Mahal</t>
  </si>
  <si>
    <t>8500-0035-1</t>
  </si>
  <si>
    <t>120 x 280 cm / 48 x 110 in Majesto Taj Mahal Honed Rectified Colorsync Sintered Slab 6 mm / 0.24 in</t>
  </si>
  <si>
    <t>Waterfall Display 09</t>
  </si>
  <si>
    <t>Majesto Bianco Stratura</t>
  </si>
  <si>
    <t>8500-0028-1</t>
  </si>
  <si>
    <t>120 x 280 cm / 48 x 110 in Majesto Bianco Stratura Polished Rectified Colorsync Sintered Slab 6 mm / 0.24 in</t>
  </si>
  <si>
    <t>Waterfall Display 10</t>
  </si>
  <si>
    <t>Majesto Ariel Bianco</t>
  </si>
  <si>
    <t>8500-0023-0</t>
  </si>
  <si>
    <t>120 x 280 cm / 48 x 110 in Majesto Ariel Bianco Honed Rectified Colorsync Sintered Slab 6 mm / 0.24 in</t>
  </si>
  <si>
    <t>Waterfall Display 11</t>
  </si>
  <si>
    <t>Majesto Travertino Classico</t>
  </si>
  <si>
    <t>8500-0052-0</t>
  </si>
  <si>
    <t>120 x 280 cm / 48 x 110 in Majesto Travertino Classico Honed Rectified Colorsync Sintered Slab 6 mm / 0.24 in</t>
  </si>
  <si>
    <t>Waterfall Display 12</t>
  </si>
  <si>
    <t>Lithoform Crosscut Vista</t>
  </si>
  <si>
    <t>8500-0086-0</t>
  </si>
  <si>
    <t>120 x 280 cm / 48 x 110 in Lithoform Crosscut Vista Honed Rectified Colorsync Sintered Slab 6 mm / 0.24 in</t>
  </si>
  <si>
    <t>Waterfall Display 13</t>
  </si>
  <si>
    <t>Lithoform Veincut Vista</t>
  </si>
  <si>
    <t>8500-0098-0</t>
  </si>
  <si>
    <t>120 x 280 cm / 48 x 110 in Lithoform Veincut Vista Honed Rectified Colorsync Sintered Slab 6 mm / 0.24 in</t>
  </si>
  <si>
    <t>Waterfall Display 14</t>
  </si>
  <si>
    <t>8500-0631-0</t>
  </si>
  <si>
    <t>120 x 280 cm / 48 x 110 in Monoforma Moonlight Honed Rectified Unglazed Sintered Slab 6 mm / 0.24 in</t>
  </si>
  <si>
    <t>Waterfall Display 15</t>
  </si>
  <si>
    <t>Serena Dusk</t>
  </si>
  <si>
    <t>8500-0076-0</t>
  </si>
  <si>
    <t>120 x 280 cm / 48 x 110 in Serena Dusk Honed Rectified Colorsync Sintered Slab 6 mm / 0.24 in</t>
  </si>
  <si>
    <t>Waterfall Display 16</t>
  </si>
  <si>
    <t>8500-0069-0</t>
  </si>
  <si>
    <t>120 x 280 cm / 48 x 110 in Serena Flint Organic Matte Rectified Colorsync Sintered Slab 6 mm / 0.24 in</t>
  </si>
  <si>
    <t>Waterfall Display 17</t>
  </si>
  <si>
    <t>Majesto Ceppo di Gre</t>
  </si>
  <si>
    <t>8500-0058-0</t>
  </si>
  <si>
    <t>120 x 280 cm / 48 x 110 in Majesto Ceppo di Gre Honed Rectified Colorsync Sintered Slab 6 mm / 0.24 in</t>
  </si>
  <si>
    <t>Waterfall Display 18</t>
  </si>
  <si>
    <t>Serena Shale</t>
  </si>
  <si>
    <t>8500-0072-1</t>
  </si>
  <si>
    <t>120 x 280 cm / 48 x 110 in Serena Shale Honed Rectified Colorsync Sintered Slab 6 mm / 0.24 in</t>
  </si>
  <si>
    <t>Waterfall Display 19</t>
  </si>
  <si>
    <t>Lustra Onyx Halo</t>
  </si>
  <si>
    <t>8500-0061-0</t>
  </si>
  <si>
    <t>120 x 280 cm / 48 x 110 in Lustra Onyx Halo Honed Rectified Colorsync Sintered Slab 6 mm / 0.24 in</t>
  </si>
  <si>
    <t>Waterfall Display 20</t>
  </si>
  <si>
    <t>Majesto Travertino Titanium</t>
  </si>
  <si>
    <t>8500-0059-0</t>
  </si>
  <si>
    <t>120 x 280 cm / 48 x 110 in Majesto Travertino Titanium Organic Matte Rectified Colorsync Sintered Slab 6 mm / 0.24 in</t>
  </si>
  <si>
    <t>Waterfall Display 21</t>
  </si>
  <si>
    <t>Majesto Bianco Gioia</t>
  </si>
  <si>
    <t>8500-0017-0</t>
  </si>
  <si>
    <t>120 x 280 cm / 48 x 110 in Majesto Bianco Gioia Honed Rectified Colorsync Sintered Slab 6 mm / 0.24 in</t>
  </si>
  <si>
    <t>Room 8</t>
  </si>
  <si>
    <t>Rotating Tile Display</t>
  </si>
  <si>
    <t xml:space="preserve"> Porcelain Tile</t>
  </si>
  <si>
    <t>120 x 120 cm</t>
  </si>
  <si>
    <t>9 mm</t>
  </si>
  <si>
    <t>8500-0152-0</t>
  </si>
  <si>
    <t>120 x 120 cm / 48 x 48 in Lustra Onyx Crema Polished Rectified Colorsync Porcelain Tile</t>
  </si>
  <si>
    <t>8500-0156-0</t>
  </si>
  <si>
    <t>120 x 120 cm / 48 x 48 in Lustra Onyx Hazel Polished Rectified Colorsync Porcelain Tile</t>
  </si>
  <si>
    <t>8500-0131-0</t>
  </si>
  <si>
    <t>120 x 120 cm / 48 x 48 in Majesto Calacatta Cremo Honed Rectified Colorsync Porcelain Tile</t>
  </si>
  <si>
    <t>Majesto Calacatta Oro</t>
  </si>
  <si>
    <t>8500-0129-0</t>
  </si>
  <si>
    <t>120 x 120 cm / 48 x 48 in Majesto Calacatta Oro Honed Rectified Colorsync Porcelain Tile</t>
  </si>
  <si>
    <t>8500-0136-0</t>
  </si>
  <si>
    <t>120 x 120 cm / 48 x 48 in Majesto French Vanilla Polished Rectified Colorsync Porcelain Tile</t>
  </si>
  <si>
    <t>Majesto Pietra Imperiale</t>
  </si>
  <si>
    <t>8500-0643-0</t>
  </si>
  <si>
    <t>120 x 120 cm / 48 x 48 in Majesto Pietra Imperiale Polished Rectified Colorsync Porcelain Tile</t>
  </si>
  <si>
    <t>8500-0134-0</t>
  </si>
  <si>
    <t>120 x 120 cm / 48 x 48 in Majesto Taj Mahal Polished Rectified Colorsync Porcelain Tile</t>
  </si>
  <si>
    <t>8500-0174-0</t>
  </si>
  <si>
    <t>120 x 120 cm / 48 x 48 in Lithoform Crosscut Coast Organic Matte Rectified Colorsync Porcelain Tile</t>
  </si>
  <si>
    <t>8500-0180-0</t>
  </si>
  <si>
    <t>120 x 120 cm / 48 x 48 in Lithoform Crosscut Twilight Organic Matte Rectified Colorsync Porcelain Tile</t>
  </si>
  <si>
    <t>8500-0177-0</t>
  </si>
  <si>
    <t>120 x 120 cm / 48 x 48 in Lithoform Crosscut Vista Organic Matte Rectified Colorsync Porcelain Tile</t>
  </si>
  <si>
    <t>8500-0688-0</t>
  </si>
  <si>
    <t>120 x 120 cm / 48 x 48 in Lustra Onyx Feather Polished Rectified Colorsync Porcelain Tile</t>
  </si>
  <si>
    <t>8500-0154-0</t>
  </si>
  <si>
    <t>120 x 120 cm / 48 x 48 in Lustra Onyx Sage Polished Rectified Colorsync Porcelain Tile</t>
  </si>
  <si>
    <t>8500-0122-0</t>
  </si>
  <si>
    <t>120 x 120 cm / 48 x 48 in Majesto Bianco Gioia Polished Rectified Colorsync Porcelain Tile</t>
  </si>
  <si>
    <t>8500-0133-0</t>
  </si>
  <si>
    <t>120 x 120 cm / 48 x 48 in Majesto Calacatta Borghini Honed Rectified Colorsync Porcelain Tile</t>
  </si>
  <si>
    <t>8500-0124-0</t>
  </si>
  <si>
    <t>120 x 120 cm / 48 x 48 in Majesto Calacatta Corchia Polished Rectified Colorsync Porcelain Tile</t>
  </si>
  <si>
    <t>8500-0146-0</t>
  </si>
  <si>
    <t>120 x 120 cm / 48 x 48 in Majesto Crystal Bianco Polished Rectified Colorsync Porcelain Tile</t>
  </si>
  <si>
    <t>8500-0138-0</t>
  </si>
  <si>
    <t>120 x 120 cm / 48 x 48 in Majesto Forge Eleganza Polished Rectified Colorsync Porcelain Tile</t>
  </si>
  <si>
    <t>8500-0121-0</t>
  </si>
  <si>
    <t>120 x 120 cm / 48 x 48 in Majesto Statuario Honed Rectified Colorsync Porcelain Tile</t>
  </si>
  <si>
    <t>8500-0167-0</t>
  </si>
  <si>
    <t>120 x 120 cm / 48 x 48 in Serena Dusk Organic Matte Rectified Colorsync Porcelain Tile</t>
  </si>
  <si>
    <t>8500-0165-0</t>
  </si>
  <si>
    <t>120 x 120 cm / 48 x 48 in Serena Pewter Organic Matte Rectified Colorsync Porcelain Tile</t>
  </si>
  <si>
    <t xml:space="preserve">sıralama soldan sağa doğru 12 mm lik slabler en dışta
 kalacak şekilde yerleşmeli </t>
  </si>
  <si>
    <t xml:space="preserve">sıralama soldan sağa doğru 
olacak şekilde slabler yerleşmeli </t>
  </si>
  <si>
    <t>Duvara bakan kısıma bakarak mutfak tarafından 
 başlayacak waterfall 
Waterfall Display 10 ile başlamalı .</t>
  </si>
  <si>
    <t xml:space="preserve">Duvar kısmına gelecek ürünler ,
 Lithoform Crosscut Coast mutfak tarafından başlayacak  </t>
  </si>
  <si>
    <t xml:space="preserve">İç avluya bakarak  ayna tarafından 
 başlayacak waterfall , Waterfall Display 16 ile başlamalı </t>
  </si>
  <si>
    <t xml:space="preserve">sağ tarafa yerleşecek , mutfağa yakın kısıma doğru. 
 lithoform serisi tarafında .
ilk 5 adet ön panele yerleşecek  sonraki 5 adet ürün arkasına yerleşecek </t>
  </si>
  <si>
    <t xml:space="preserve">sol  tarafa yerleşecek , banyoya yakın kısıma doğru. 
serena serisi tarafında .
ilk 5 adet ön panele yerleşecek  sonraki 5 adet ürün arkasına yerleşecek </t>
  </si>
  <si>
    <t>Notlar</t>
  </si>
  <si>
    <t>8500-0049-0</t>
  </si>
  <si>
    <t>120 x 280 cm / 48 x 110 in Majesto Sahara Noir Honed Rectified Colorsync Sintered Slab 6 mm / 0.24 in  </t>
  </si>
  <si>
    <t>Notes</t>
  </si>
  <si>
    <t>sample eksik ( silk)</t>
  </si>
  <si>
    <t>sample eksik ( polished))</t>
  </si>
  <si>
    <t>patinated 160 x 320 , sample organic matte</t>
  </si>
  <si>
    <t xml:space="preserve">sample eksik ( silk) </t>
  </si>
  <si>
    <t>sample eksik ( honed)</t>
  </si>
  <si>
    <t>sample eksik ( satin , vintage)</t>
  </si>
  <si>
    <t>sample eksik ( satin )</t>
  </si>
  <si>
    <t>sample eksik ( honed )</t>
  </si>
  <si>
    <t>sample eksik ( vintage )</t>
  </si>
  <si>
    <t>Notes 09.06.26</t>
  </si>
  <si>
    <t>sample eksik (polished )</t>
  </si>
  <si>
    <t>sample chipler yamuklar düzeltilmeli</t>
  </si>
  <si>
    <t xml:space="preserve">Fixtures </t>
  </si>
  <si>
    <t>Hall</t>
  </si>
  <si>
    <t xml:space="preserve">160 x 320 cm </t>
  </si>
  <si>
    <t>160 x 320 cm / 63 x 126 in Bianco Gioia Block 19 Bookmatch Cut Polished Rectified Colorsync Sintered Slab 6 mm / 0.24 in  </t>
  </si>
  <si>
    <t>8000-0196-0</t>
  </si>
  <si>
    <t>Bianco Gioia Block 19 Bookmatch</t>
  </si>
  <si>
    <t>162 x 322 cm / 64 x 127 in Onyx Halo Block 44 Bookmatch Cut Polished ColorsyncSintered Slab 12 mm / 0.47 in  </t>
  </si>
  <si>
    <t>8000-0466-2</t>
  </si>
  <si>
    <t xml:space="preserve"> Onyx Halo Block 44 Bookmatch</t>
  </si>
  <si>
    <t>8000-0014-0</t>
  </si>
  <si>
    <t>162 x 322 cm / 64 x 127 in Arabescato Vagli Block 34 Bookmatch Cut Honed Colorsync Sintered Slab 12 mm / 0.47 in  </t>
  </si>
  <si>
    <t xml:space="preserve"> Arabescato Vagli Block 34</t>
  </si>
  <si>
    <t>8000-0194-0</t>
  </si>
  <si>
    <t>160 x 320 cm / 63 x 126 in Bianco Dior Block 38 Bookmatch Cut Honed Rectified Colorsync Sintered Slab 6 mm / 0.24 in  </t>
  </si>
  <si>
    <t xml:space="preserve"> Bianco Dior Block 38</t>
  </si>
  <si>
    <t>162 x 322 cm / 64 x 127 in Statuario Block 16 Bookmatch Cut Polished Colorsync Sintered Slab 12 mm / 0.47 in  </t>
  </si>
  <si>
    <t>8000-0156-1</t>
  </si>
  <si>
    <t xml:space="preserve"> Statuario Block 16 </t>
  </si>
  <si>
    <t>8000-0590-0</t>
  </si>
  <si>
    <t>160 x 320 cm / 63 x 126 in Calacatta Noir Polished Rectified Colorsync Sintered Slab 6 mm / 0.24 in  </t>
  </si>
  <si>
    <t>160 x 320 cm / 63 x 126 in Nero Marquina Block 26 Bookmatch Cut Honed Rectified Colorsync Sintered Slab 6 mm / 0.24 in </t>
  </si>
  <si>
    <t>8000-0270-1</t>
  </si>
  <si>
    <t>Nero Marquina Block 26</t>
  </si>
  <si>
    <t>8000-0596-0</t>
  </si>
  <si>
    <t>160 x 320 cm / 63 x 126 in Verdi Alpi Polished Rectified Colorsync Sintered Slab 6 mm / 0.24 in  </t>
  </si>
  <si>
    <t xml:space="preserve"> Verdi Alpi </t>
  </si>
  <si>
    <t>160 x 320 cm / 63 x 126 in Calacatta Corchia Block 43 Bookmatch Cut Honed Rectified Colorsync Sintered Slab 6 mm / 0.24 in  </t>
  </si>
  <si>
    <t>8000-0202-0</t>
  </si>
  <si>
    <t>Calacatta Corchia Block 43</t>
  </si>
  <si>
    <t>8000-0184-0</t>
  </si>
  <si>
    <t>160 x 320 cm / 63 x 126 in Armani Noir Block 17 Bookmatch Cut Polished Rectified Colorsync Sintered Slab 6 mm / 0.24 in  </t>
  </si>
  <si>
    <t xml:space="preserve"> Armani Noir Block 17 </t>
  </si>
  <si>
    <t>sample eksik ( polished , satin)</t>
  </si>
  <si>
    <t>162 x 322 cm / 64 x 127 in Crystal Bianco Block 50 Bookmatch Cut Polished ColorsyncSintered Slab 12 mm / 0.47 in  </t>
  </si>
  <si>
    <t>8000-0441-1</t>
  </si>
  <si>
    <t>Crystal Bianco Block 50</t>
  </si>
  <si>
    <t>160 x 320 cm / 63 x 126 in Serena Shale Honed Rectified Colorsync Sintered Slab 6 mm / 0.24 in  </t>
  </si>
  <si>
    <t>8000-0539-1</t>
  </si>
  <si>
    <t xml:space="preserve"> Serena Shale</t>
  </si>
  <si>
    <t>8000-0564-0</t>
  </si>
  <si>
    <t>160 x 320 cm / 63 x 126 in Publica Thunder Patinated Rectified Colorsync Sintered Slab 6 mm / 0.24 in </t>
  </si>
  <si>
    <t>Publica Thunder</t>
  </si>
  <si>
    <t>162 x 322 cm / 64 x 127 in Monoforma Silhouette Polished Unglazed Sintered Slab 12 mm / 0.47 in  </t>
  </si>
  <si>
    <t xml:space="preserve"> Monoforma Silhouette</t>
  </si>
  <si>
    <t>160 x 320 cm / 63 x 126 in Ariel Bianco Block 33 Bookmatch Cut Polished Rectified Colorsync Sintered Slab 6 mm / 0.24 in  </t>
  </si>
  <si>
    <t>8000-0180-0</t>
  </si>
  <si>
    <t xml:space="preserve"> Ariel Bianco Block 33 </t>
  </si>
  <si>
    <t>8000-0050-0</t>
  </si>
  <si>
    <t>160 x 320 cm / 63 x 126 in Calacatta Viola Block 41 Bookmatch Cut Honed Rectified Colorsync Sintered Slab 6 mm / 0.24 in  </t>
  </si>
  <si>
    <t xml:space="preserve"> Calacatta Viola Block 41</t>
  </si>
  <si>
    <t>160 x 320 cm / 63 x 126 in Foresta Block 56 Bookmatch Cut Honed Rectified Colorsync Sintered Slab 6 mm / 0.24 in  </t>
  </si>
  <si>
    <t>8000-0238-0</t>
  </si>
  <si>
    <t xml:space="preserve"> Foresta Block 56</t>
  </si>
  <si>
    <t>8000-0578-0</t>
  </si>
  <si>
    <t>160 x 320 cm / 63 x 126 in Travertino Classico Honed Rectified Colorsync Sintered Slab 6 mm / 0.24 in  </t>
  </si>
  <si>
    <t xml:space="preserve">Travertino Classico </t>
  </si>
  <si>
    <t>8000-0574-0</t>
  </si>
  <si>
    <t>160 x 320 cm / 63 x 126 in Travertino Titanium Block 39 Bookmatch Cut Honed Rectified Colorsync Colorsync Sintered Slab 6 mm / 0.24  </t>
  </si>
  <si>
    <t>Travertino Titanium Block 39</t>
  </si>
  <si>
    <t>8000-0250-0</t>
  </si>
  <si>
    <t>160 x 320 cm / 63 x 126 in Grigio Quarzo Block 21 Bookmatch Cut Honed Rectified Colorsync Sintered Slab 6 mm / 0.24 in  </t>
  </si>
  <si>
    <t xml:space="preserve"> Grigio Quarzo Block 21</t>
  </si>
  <si>
    <t>8000-0436-1</t>
  </si>
  <si>
    <t>162 x 322 cm / 64 x 127 in Ceppo di Gre Block 71 Bookmatch Cut Honed Colorsync Sintered Slab 12 mm / 0.47 in  </t>
  </si>
  <si>
    <t xml:space="preserve"> Ceppo di Gre Block 71</t>
  </si>
  <si>
    <t>sample eksik ( satin)</t>
  </si>
  <si>
    <t>8000-0442-1</t>
  </si>
  <si>
    <t>162 x 322 cm / 64 x 127 in Terrazzo Delicato Honed Colorsync Sintered Slab 12 mm / 0.47 in  </t>
  </si>
  <si>
    <t xml:space="preserve">Terrazzo Delicato </t>
  </si>
  <si>
    <t>160 x 320 cm / 63 x 126 in Fusion White Block 27 Bookmatch Cut Polished Rectified Colorsync Sintered Slab 6 mm / 0.24 in  </t>
  </si>
  <si>
    <t>8000-0244-1</t>
  </si>
  <si>
    <t>Fusion White Block 27</t>
  </si>
  <si>
    <t>8000-0260-0</t>
  </si>
  <si>
    <t>160 x 320 cm / 63 x 126 in Montagna Jade Block 14 Bookmatch Cut Polished Rectified Colorsync Sintered Slab 6 mm / 0.24 in  </t>
  </si>
  <si>
    <t>Montagna Jade Block 14</t>
  </si>
  <si>
    <t>160 x 320 cm / 63 x 126 in Panda Block 22 Bookmatch Cut Honed Rectified Colorsync Sintered Slab 6 mm / 0.24 in  </t>
  </si>
  <si>
    <t>8000-0278-1</t>
  </si>
  <si>
    <t xml:space="preserve"> Panda Block 22</t>
  </si>
  <si>
    <t>8000-0168-1</t>
  </si>
  <si>
    <t>162 x 322 cm / 64 x 127 in Super White Block 28 Bookmatch Cut Polished Colorsync Sintered Slab 12 mm / 0.47 in  </t>
  </si>
  <si>
    <t xml:space="preserve"> Super White Block 28</t>
  </si>
  <si>
    <r>
      <t>8000-0044-1</t>
    </r>
    <r>
      <rPr>
        <sz val="9"/>
        <color rgb="FFFF0000"/>
        <rFont val="Verdana"/>
        <family val="2"/>
        <charset val="162"/>
      </rPr>
      <t>*</t>
    </r>
  </si>
  <si>
    <t>160 x 320 cm / 63 x 126 in Calacatta Carrara Block 23 Bookmatch Cut Polished Rectified Colorsync Sintered Slab 6 mm / 0.24 in  </t>
  </si>
  <si>
    <t xml:space="preserve"> Calacatta Carrara Block 23</t>
  </si>
  <si>
    <t>8000-0603-0</t>
  </si>
  <si>
    <t>160 x 320 cm / 63 x 126 in Atlantic Ocean Honed Rectified Colorsync Sintered Slab 6 mm / 0.24 in  </t>
  </si>
  <si>
    <t xml:space="preserve"> Atlantic Ocean Honed </t>
  </si>
  <si>
    <r>
      <t>8000-0264-1</t>
    </r>
    <r>
      <rPr>
        <sz val="9"/>
        <color rgb="FFFF0000"/>
        <rFont val="Verdana"/>
        <family val="2"/>
        <charset val="162"/>
      </rPr>
      <t>*</t>
    </r>
  </si>
  <si>
    <t>160 x 320 cm / 63 x 126 in Montagna Grey Block 11 Bookmatch Cut Polished Rectified Colorsync Sintered Slab 6 mm / 0.24 in  </t>
  </si>
  <si>
    <t>Montagna Grey Block 11</t>
  </si>
  <si>
    <t>neden 3 finish var ?</t>
  </si>
  <si>
    <t>8000-0604-0</t>
  </si>
  <si>
    <t>160 x 320 cm / 63 x 126 in Pietra Imperiale Polished Rectified Colorsync Sintered Slab 6 mm / 0.24 in  </t>
  </si>
  <si>
    <t xml:space="preserve"> Pietra Imperiale </t>
  </si>
  <si>
    <r>
      <t>8000-0068-1</t>
    </r>
    <r>
      <rPr>
        <sz val="9"/>
        <color rgb="FFFF0000"/>
        <rFont val="Verdana"/>
        <family val="2"/>
        <charset val="162"/>
      </rPr>
      <t>*</t>
    </r>
  </si>
  <si>
    <t>162 x 322 cm / 64 x 127 in Calacatta Cremo Block 31 Bookmatch Cut Polished Colorsync Sintered Slab 12 mm / 0.47 in  </t>
  </si>
  <si>
    <t xml:space="preserve"> Calacatta Cremo Block 31</t>
  </si>
  <si>
    <t>8000-0152-1</t>
  </si>
  <si>
    <t>162 x 322 cm / 64 x 127 in Sahara Noir Block 15 Bookmatch Cut Polished Colorsync Sintered Slab 12 mm / 0.47 in  </t>
  </si>
  <si>
    <t xml:space="preserve"> Sahara Noir Block 15</t>
  </si>
  <si>
    <r>
      <t>8000-0438-1</t>
    </r>
    <r>
      <rPr>
        <sz val="9"/>
        <color rgb="FFFF0000"/>
        <rFont val="Verdana"/>
        <family val="2"/>
        <charset val="162"/>
      </rPr>
      <t>*</t>
    </r>
  </si>
  <si>
    <t>162 x 322 cm / 64 x 127 in Bianco Stratura Block 18 Bookmatch Cut Honed Colorsync Sintered Slab 12 mm / 0.47 in  </t>
  </si>
  <si>
    <t xml:space="preserve"> Bianco Stratura Block 18</t>
  </si>
  <si>
    <r>
      <t>8000-0554-1</t>
    </r>
    <r>
      <rPr>
        <sz val="9"/>
        <color rgb="FFFF0000"/>
        <rFont val="Verdana"/>
        <family val="2"/>
        <charset val="162"/>
      </rPr>
      <t>*</t>
    </r>
  </si>
  <si>
    <t>160 x 320 cm / 63 x 126 in Lithoform Veincut Coast Honed Rectified Colorsync Sintered Slab 6 mm / 0.24 in  </t>
  </si>
  <si>
    <t xml:space="preserve"> Lithoform Veincut Coast </t>
  </si>
  <si>
    <r>
      <t>8000-0545-1</t>
    </r>
    <r>
      <rPr>
        <sz val="9"/>
        <color rgb="FFFF0000"/>
        <rFont val="Verdana"/>
        <family val="2"/>
        <charset val="162"/>
      </rPr>
      <t>*</t>
    </r>
  </si>
  <si>
    <t>160 x 320 cm / 63 x 126 in Lithoform Crosscut Coast Honed Rectified Colorsync Sintered Slab 6 mm / 0.24 in  </t>
  </si>
  <si>
    <t>Lithoform Crosscut Coas</t>
  </si>
  <si>
    <t>8000-0530-0</t>
  </si>
  <si>
    <t>160 x 320 cm / 63 x 126 in French Vanilla Honed Rectified Colorsync Sintered Slab 6 mm / 0.24 in  </t>
  </si>
  <si>
    <t xml:space="preserve"> French Vanilla </t>
  </si>
  <si>
    <r>
      <t>8000-0036-0</t>
    </r>
    <r>
      <rPr>
        <sz val="9"/>
        <color rgb="FFFF0000"/>
        <rFont val="Verdana"/>
        <family val="2"/>
        <charset val="162"/>
      </rPr>
      <t>*</t>
    </r>
  </si>
  <si>
    <t>160 x 320 cm / 63 x 126 in Arabescato Corchia Block 59 Bookmatch Cut Polished Rectified Colorsync Sintered Slab 6 mm / 0.24 in  </t>
  </si>
  <si>
    <t xml:space="preserve"> Arabescato Corchia Block 59 </t>
  </si>
  <si>
    <t>Forge Eleganza</t>
  </si>
  <si>
    <r>
      <t>8000-0084-2</t>
    </r>
    <r>
      <rPr>
        <sz val="9"/>
        <color rgb="FFFF0000"/>
        <rFont val="Verdana"/>
        <family val="2"/>
        <charset val="162"/>
      </rPr>
      <t>*</t>
    </r>
  </si>
  <si>
    <t>162 x 322 cm / 64 x 127 in Calacatta Oro Block 12 Bookmatch Cut Polished Colorsync Sintered Slab 12 mm / 0.47 in  </t>
  </si>
  <si>
    <t>Calacatta Oro Block 12</t>
  </si>
  <si>
    <t>8000-0272-0</t>
  </si>
  <si>
    <t>160 x 320 cm / 63 x 126 in Oro Noir Block 25 Bookmatch Cut Polished Rectified Colorsync Sintered Slab 6 mm / 0.24 in  </t>
  </si>
  <si>
    <t>Oro Noir Block 25 Bookmatch</t>
  </si>
  <si>
    <t>8000-0108-1</t>
  </si>
  <si>
    <t>162 x 322 cm / 64 x 127 in Forge Eleganza Block 20 Bookmatch Cut Polished Colorsync Sintered Slab 12 mm / 0.47 in  </t>
  </si>
  <si>
    <t>8000-0254-0</t>
  </si>
  <si>
    <t>160 x 320 cm / 63 x 126 in Macchia Vecchia Block 42 Bookmatch Cut Honed Rectified Colorsync Sintered Slab 6 mm / 0.24 in  </t>
  </si>
  <si>
    <t xml:space="preserve"> Macchia Vecchia Block 42</t>
  </si>
  <si>
    <t xml:space="preserve">vintage sample var , label güncellenmeli </t>
  </si>
  <si>
    <r>
      <t>8000-0434-2</t>
    </r>
    <r>
      <rPr>
        <sz val="9"/>
        <color rgb="FFFF0000"/>
        <rFont val="Verdana"/>
        <family val="2"/>
        <charset val="162"/>
      </rPr>
      <t>*</t>
    </r>
  </si>
  <si>
    <t>162 x 322 cm / 64 x 127 in Calacatta Borghini Block 48 Bookmatch Cut Honed Colorsync Sintered Slab 12 mm / 0.47 in </t>
  </si>
  <si>
    <t xml:space="preserve">Calacatta Borghini Block 48 </t>
  </si>
  <si>
    <t>8000-0411-0</t>
  </si>
  <si>
    <t>160 x 320 cm / 63 x 126 in Taj Mahal Block 36 Bookmatch Cut Polished Rectified Colorsync Sintered Slab 6 mm / 0.24 in</t>
  </si>
  <si>
    <t xml:space="preserve"> Taj Mahal Block 36</t>
  </si>
  <si>
    <t>8000-0258-0</t>
  </si>
  <si>
    <t>160 x 320 cm / 63 x 126 in Marina White Block 46 Bookmatch Cut Honed Rectified Colorsync Sintered Slab 6 mm / 0.24 in  </t>
  </si>
  <si>
    <t xml:space="preserve"> Marina White Block 46</t>
  </si>
  <si>
    <r>
      <t>8000-0224-1</t>
    </r>
    <r>
      <rPr>
        <sz val="9"/>
        <color rgb="FFFF0000"/>
        <rFont val="Verdana"/>
        <family val="2"/>
        <charset val="162"/>
      </rPr>
      <t>*</t>
    </r>
  </si>
  <si>
    <t>160 x 320 cm / 63 x 126 in Calacatta Picasso Block 32 Bookmatch Cut Polished Rectified Colorsync Sintered Slab 6 mm / 0.24 in  </t>
  </si>
  <si>
    <t>Calacatta Picasso Block 32</t>
  </si>
  <si>
    <t>8000-0208-0</t>
  </si>
  <si>
    <t>160 x 320 cm / 63 x 126 in Gemma Bronze Block 45 Bookmatch Cut Polished Rectified Colorsync Sintered Slab 6 mm / 0.24 in  </t>
  </si>
  <si>
    <t xml:space="preserve"> Gemma Bronze Block 45</t>
  </si>
  <si>
    <t>Pre Cut /
Yes - No</t>
  </si>
  <si>
    <t>F04+F05+F06+F08</t>
  </si>
  <si>
    <t>Main Floors</t>
  </si>
  <si>
    <t>119.8 x 119.8 cm</t>
  </si>
  <si>
    <t>8500-0160-0</t>
  </si>
  <si>
    <t>120 x 120 cm / 48 x 48 in Serena Crater Honed Rectified Colorsync Porcelain Tile</t>
  </si>
  <si>
    <t>N/A</t>
  </si>
  <si>
    <t>F01</t>
  </si>
  <si>
    <t>Floor</t>
  </si>
  <si>
    <t>Arabescato Corchia</t>
  </si>
  <si>
    <t>8500-0119-0</t>
  </si>
  <si>
    <t>120 x 120 cm / 48 x 48 in Majesto Arabescato Corchia Honed Rectified Colorsync Porcelain Tile</t>
  </si>
  <si>
    <t>F02</t>
  </si>
  <si>
    <t>8500-0145-0</t>
  </si>
  <si>
    <t>120 x 120 cm / 48 x 48 in Majesto Calacatta Noir Honed Rectified Colorsync Porcelain Tile</t>
  </si>
  <si>
    <t>F03</t>
  </si>
  <si>
    <t xml:space="preserve">Ceppo di Gre  </t>
  </si>
  <si>
    <t>8500-0148-0</t>
  </si>
  <si>
    <t>120 x 120 cm / 48 x 48 in Majesto Ceppo di Gre Honed Rectified Colorsync Porcelain Tile</t>
  </si>
  <si>
    <t>F07</t>
  </si>
  <si>
    <t>8500-0170-0</t>
  </si>
  <si>
    <t>120 x 120 cm / 48 x 48 in Lithoform Crosscut Dunes Honed Rectified Colorsync Porcelain Tile</t>
  </si>
  <si>
    <t>W1A+W1C</t>
  </si>
  <si>
    <t>Bathroom Walls</t>
  </si>
  <si>
    <t>Pietra Imperiale</t>
  </si>
  <si>
    <t>8000-0282-0</t>
  </si>
  <si>
    <t>160 x 320 cm / 63 x 126 in Pietra Imperiale Block 30 Bookmatch Cut Honed Rectified Colorsync Sintered Slab 6 mm / 0.24 in</t>
  </si>
  <si>
    <t>No</t>
  </si>
  <si>
    <t>W1B+W1D</t>
  </si>
  <si>
    <t>Bathroom side Walls</t>
  </si>
  <si>
    <t>8000-0036-0</t>
  </si>
  <si>
    <t>160 x 320 cm / 63 x 126 in Arabescato Corchia Block 59 Bookmatch Cut Polished Rectified Colorsync Sintered Slab 6 mm / 0.24 in</t>
  </si>
  <si>
    <t>Yes</t>
  </si>
  <si>
    <t>W1A</t>
  </si>
  <si>
    <t>Bathroom Vanity</t>
  </si>
  <si>
    <t>8000-0493-1</t>
  </si>
  <si>
    <t>162 x 322 cm / 64 x 127 in Pietra Imperiale Block 30 Bookmatch Cut Satin Colorsync Sintered Slab 12 mm / 0.47 in</t>
  </si>
  <si>
    <t>Kesim icin Slab mobilya ureticisi bir firmaya iletilmeli</t>
  </si>
  <si>
    <t>W2A+W2B+W2D</t>
  </si>
  <si>
    <t>Living Space Walls</t>
  </si>
  <si>
    <t>8000-0558-0</t>
  </si>
  <si>
    <t>160 x 320 cm / 63 x 126 in Lithoform Veincut Vista Honed Rectified Colorsync Sintered Slab 6 mm / 0.24 in</t>
  </si>
  <si>
    <t>W2C</t>
  </si>
  <si>
    <t>Waterfall Wall</t>
  </si>
  <si>
    <t>8500-0050-1</t>
  </si>
  <si>
    <t>120 x 280 cm / 48 x 110 in Majesto Calacatta Noir Polished Rectified Colorsync Sintered Slab 6 mm / 0.24 in</t>
  </si>
  <si>
    <t>W2D</t>
  </si>
  <si>
    <t>Fireplace Top</t>
  </si>
  <si>
    <t>160 x 320 cm / 63 x 126 in Travertino Titanium Block 39 Bookmatch Cut Honed Rectified Colorsync Colorsync Sintered Slab 6 mm / 0.24</t>
  </si>
  <si>
    <t>Fireplace Bottom</t>
  </si>
  <si>
    <t>8000-0500-1</t>
  </si>
  <si>
    <t>162 x 322 cm / 64 x 127 in Travertino Titanium Block 39 Bookmatch Cut Grained Colorsync Sintered Slab 12 mm / 0.47 in</t>
  </si>
  <si>
    <t xml:space="preserve">W3A+W3B+W3C </t>
  </si>
  <si>
    <t>Meeting room Walls</t>
  </si>
  <si>
    <t>8000-0551-0</t>
  </si>
  <si>
    <t>160 x 320 cm / 63 x 126 in Lithoform Crosscut Vista Honed Rectified Colorsync Sintered Slab 6 mm / 0.24 in</t>
  </si>
  <si>
    <t>W3D</t>
  </si>
  <si>
    <t>Wall</t>
  </si>
  <si>
    <t>Statuario Block 16</t>
  </si>
  <si>
    <t>8000-0290-0</t>
  </si>
  <si>
    <t>160 x 320 cm / 63 x 126 in Statuario Block 16 Bookmatch Cut Honed Rectified Colorsync Sintered Slab 6 mm / 0.24 in</t>
  </si>
  <si>
    <t>Statuario Block 17</t>
  </si>
  <si>
    <t>8000-0306-9</t>
  </si>
  <si>
    <t>160 x 320 cm / 63 x 126 in Statuario Block 17 Bookmatch Cut Honed Rectified Colorsync Sintered Slab B Grade 6 mm / 0.24 in</t>
  </si>
  <si>
    <t xml:space="preserve">B Grade urun icinden 1 adet A ve 1 adet B face cikartabilir miyiz bakalim lutfen. </t>
  </si>
  <si>
    <t>Room 3</t>
  </si>
  <si>
    <t>Middle Meeting Table Top</t>
  </si>
  <si>
    <t>125 x 280 cm</t>
  </si>
  <si>
    <t>Oro Noir</t>
  </si>
  <si>
    <t>8000-0140-1</t>
  </si>
  <si>
    <t>162 x 322 cm / 64 x 127 in Oro Noir Block 25 Bookmatch Cut Polished Colorsync Sintered Slab 12 mm / 0.47 in</t>
  </si>
  <si>
    <t>Kesim icin Slab mobilya ureticisi bir firmaya iletilmeli veya kendimiz keselim</t>
  </si>
  <si>
    <t>W4C</t>
  </si>
  <si>
    <t>Foresta</t>
  </si>
  <si>
    <t>8000-0236-0</t>
  </si>
  <si>
    <t>160 x 320 cm / 63 x 126 in Foresta Block 56 Bookmatch Cut Polished Rectified Colorsync Sintered Slab 6 mm / 0.24 in</t>
  </si>
  <si>
    <t>W5C</t>
  </si>
  <si>
    <t>Subsize Tiles</t>
  </si>
  <si>
    <t>8500-0034-1</t>
  </si>
  <si>
    <t>120 x 280 cm / 48 x 110 in Majesto Taj Mahal Polished Rectified Colorsync Sintered Slab 6 mm / 0.24 in</t>
  </si>
  <si>
    <t>60 x 120 cm</t>
  </si>
  <si>
    <t>8500-0530-0</t>
  </si>
  <si>
    <t>60 x 120 cm / 24 x 48 in Majesto Taj Mahal Polished Rectified Colorsync Porcelain Tile</t>
  </si>
  <si>
    <t>8500-0135-0</t>
  </si>
  <si>
    <t>120 x 120 cm / 48 x 48 in Majesto Taj Mahal Honed Rectified Colorsync Porcelain Tile</t>
  </si>
  <si>
    <t>2" Hex Mosaic</t>
  </si>
  <si>
    <t>8510-0009-0</t>
  </si>
  <si>
    <t>5 cm / 2 in Majesto Taj Mahal Hexagon Honed Colorsync Porcelain Mosaic  </t>
  </si>
  <si>
    <t>Mosaic ureticisinden talep edilmeli.</t>
  </si>
  <si>
    <t>60 x 60 cm</t>
  </si>
  <si>
    <t>8500-0295-0</t>
  </si>
  <si>
    <t>60 x 60 cm / 24 x 24 in Majesto Taj Mahal Honed Rectified Colorsync Porcelain Tile</t>
  </si>
  <si>
    <t>30 x 60 cm</t>
  </si>
  <si>
    <t>8500-0405-0</t>
  </si>
  <si>
    <t>30 x 60 cm / 12 x 24 in Majesto Taj Mahal Polished Rectified Colorsync Porcelain Tile</t>
  </si>
  <si>
    <t>90 x 90 cm</t>
  </si>
  <si>
    <t>8500-0602-0</t>
  </si>
  <si>
    <t>90 x 90 cm / 36 x 36 in Majesto Taj Mahal Honed Rectified Colorsync Porcelain Tile  </t>
  </si>
  <si>
    <t>120 x 120'den kesilebilir.</t>
  </si>
  <si>
    <t>W6A</t>
  </si>
  <si>
    <t>Calacatta Corchia</t>
  </si>
  <si>
    <t>8500-0019-1</t>
  </si>
  <si>
    <t>120 x 280 cm / 48 x 110 in Majesto Calacatta Corchia Honed Rectified Colorsync Sintered Slab 6 mm / 0.24 in</t>
  </si>
  <si>
    <t>W7C</t>
  </si>
  <si>
    <t>W8A</t>
  </si>
  <si>
    <t>Gemma Bronze</t>
  </si>
  <si>
    <t>8000-0210-0</t>
  </si>
  <si>
    <t>160 x 320 cm / 63 x 126 in Gemma Bronze Block 45 Bookmatch Cut Honed Rectified Colorsync Sintered Slab 6 mm / 0.24 in</t>
  </si>
  <si>
    <t>W8B</t>
  </si>
  <si>
    <t>8500-0176-0</t>
  </si>
  <si>
    <t>120 x 120 cm / 48 x 48 in Lithoform Crosscut Vista Honed Rectified Colorsync Porcelain Tile</t>
  </si>
  <si>
    <t>8500-0179-0</t>
  </si>
  <si>
    <t>120 x 120 cm / 48 x 48 in Lithoform Crosscut Twilight Honed Rectified Colorsync Porcelain Tile</t>
  </si>
  <si>
    <t>W8C</t>
  </si>
  <si>
    <t>8500-0173-0</t>
  </si>
  <si>
    <t>120 x 120 cm / 48 x 48 in Lithoform Crosscut Coast Honed Rectified Colorsync Porcelain Tile</t>
  </si>
  <si>
    <t>8500-0462-0</t>
  </si>
  <si>
    <t>60 x 120 cm / 24 x 48 in Lithoform Veincut Coast Honed Rectified Colorsync Porcelain Tile</t>
  </si>
  <si>
    <t>8500-0468-0</t>
  </si>
  <si>
    <t>60 x 120 cm / 24 x 48 in Lithoform Veincut Dunes Honed Rectified Colorsync Porcelain Tile</t>
  </si>
  <si>
    <t>8500-0480-0</t>
  </si>
  <si>
    <t>60 x 120 cm / 24 x 48 in Lithoform Veincut Vista Honed Rectified Colorsync Porcelain Tile</t>
  </si>
  <si>
    <t>8500-0474-0</t>
  </si>
  <si>
    <t>60 x 120 cm / 24 x 48 in Lithoform Veincut Twilight Honed Rectified Colorsync Porcelain Tile</t>
  </si>
  <si>
    <t>8500-0162-0</t>
  </si>
  <si>
    <t>120 x 120 cm / 48 x 48 in Serena Shale Honed Rectified Colorsync Porcelain Tile</t>
  </si>
  <si>
    <t>8500-0168-0</t>
  </si>
  <si>
    <t>120 x 120 cm / 48 x 48 in Serena Valley Honed Rectified Colorsync Porcelain Tile</t>
  </si>
  <si>
    <t>8500-0166-0</t>
  </si>
  <si>
    <t>120 x 120 cm / 48 x 48 in Serena Dusk Honed Rectified Colorsync Porcelain Tile</t>
  </si>
  <si>
    <t>W8D</t>
  </si>
  <si>
    <t>8500-0164-0</t>
  </si>
  <si>
    <t>120 x 120 cm / 48 x 48 in Serena Pewter Honed Rectified Colorsync Porcelain Tile</t>
  </si>
  <si>
    <t xml:space="preserve">Serena Flint </t>
  </si>
  <si>
    <t>8500-0158-0</t>
  </si>
  <si>
    <t>120 x 120 cm / 48 x 48 in Serena Flint Honed Rectified Colorsync Porcelain Tile</t>
  </si>
  <si>
    <t>Cengiz bey onayi bekleniyor. Uretilecek.</t>
  </si>
  <si>
    <t>W9F</t>
  </si>
  <si>
    <t>Lustra Onyx Sage (Olive)</t>
  </si>
  <si>
    <t>60 x 120 cm Lustra Onyx Sage (Olive)</t>
  </si>
  <si>
    <t>Lustra Onyx Hazel (Taupe)</t>
  </si>
  <si>
    <t>60 x 120 cm Lustra Onyx Hazel (Taupe)</t>
  </si>
  <si>
    <t>Lustra Onyx Crema (Ivory)</t>
  </si>
  <si>
    <t>120 x 120 cm Lustra Onyx Crema (Ivory)</t>
  </si>
  <si>
    <t>Board</t>
  </si>
  <si>
    <t>Finishes sample board</t>
  </si>
  <si>
    <t>9.5 x 13.4 cm</t>
  </si>
  <si>
    <t>9902-2325-0</t>
  </si>
  <si>
    <t>Aeterna 9.5 x 13.4 cm Taj Mahal Polished Sample Chip, 6 mm</t>
  </si>
  <si>
    <t>9902-2326-0</t>
  </si>
  <si>
    <t>Aeterna 9.5 x 13.4 cm Taj Mahal Honed Sample Chip, 6 mm</t>
  </si>
  <si>
    <t>9902-2327-0</t>
  </si>
  <si>
    <t>Aeterna 9.5 x 13.4 cm Taj Mahal Satin Sample Chip, 6 mm</t>
  </si>
  <si>
    <t>St Honed</t>
  </si>
  <si>
    <t>9902-2383-0</t>
  </si>
  <si>
    <t>Aeterna 9.5 x 13.4 cm Lithoform Crosscut Coast Honed Sample Chip, 6 mm</t>
  </si>
  <si>
    <t>9902-2415-0</t>
  </si>
  <si>
    <t>Aeterna 9.5 x 13.4 cm Lithoform Crosscut Coast Organic Matte Sample Chip, 6 mm</t>
  </si>
  <si>
    <t>9902-2384-0</t>
  </si>
  <si>
    <t>Aeterna 9.5 x 13.4 cm Lithoform Crosscut Coast Vintage Sample Chip, 6 mm</t>
  </si>
  <si>
    <t>9902-2372-0</t>
  </si>
  <si>
    <t>Aeterna 9.5 x 13.4 cm Travertino Classico Grained Sample Chip, 6 mm</t>
  </si>
  <si>
    <t>9902-2402-0</t>
  </si>
  <si>
    <t>Aeterna 9.5 x 13.4 cm Publica Terrain Organic Patinated Sample Chip, 6 mm</t>
  </si>
  <si>
    <t>9902-2404-0</t>
  </si>
  <si>
    <t>Aeterna 9.5 x 13.4 cm Monoforma Moonlight Silk Sample Chip, 6 mm</t>
  </si>
  <si>
    <t>9901-0085-0</t>
  </si>
  <si>
    <t>Waterfall Slab Display Kit, 3 Panels </t>
  </si>
  <si>
    <t>9902-2069-0</t>
  </si>
  <si>
    <t>Waterfall Slab Display Connecter - 6 Panels  </t>
  </si>
  <si>
    <t>9902-3098-0</t>
  </si>
  <si>
    <t>Right Angle Sliding 120 x 280 cm Slab Display - 12 Slab Capacity  </t>
  </si>
  <si>
    <t>-</t>
  </si>
  <si>
    <t>9902-3099-0</t>
  </si>
  <si>
    <t>Left Angle Sliding 120 x 280 cm Slab Display - 12 Slab Capacity  </t>
  </si>
  <si>
    <t>9902-3102-0</t>
  </si>
  <si>
    <t>Right Angle Sliding 160 x 320 cm Slab Display - 12 Slab Capacity   </t>
  </si>
  <si>
    <t>9902-3103-0</t>
  </si>
  <si>
    <t>Left Angle Sliding 160 x 320 cm Slab Display - 12 Slab Capacity </t>
  </si>
  <si>
    <t>9902-2066-0</t>
  </si>
  <si>
    <t>Aeterna Sample Tower Display Base 75 Chips</t>
  </si>
  <si>
    <t>9902-2067-0</t>
  </si>
  <si>
    <t>Aeterna Sintered Stone Sample Table Top Display</t>
  </si>
  <si>
    <t>9902-3105-0</t>
  </si>
  <si>
    <t>Anatolia 120 x 120 cm Rotating Tile Display - 10 Tile Capacity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</si>
</sst>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i/>
      <sz val="11"/>
      <color rgb="FF7F7F7F"/>
      <name val="Calibri"/>
      <family val="2"/>
      <charset val="162"/>
      <scheme val="minor"/>
    </font>
    <font>
      <sz val="11"/>
      <color theme="0"/>
      <name val="Calibri"/>
      <family val="2"/>
      <charset val="162"/>
      <scheme val="minor"/>
    </font>
    <font>
      <b/>
      <sz val="11"/>
      <color theme="0"/>
      <name val="Calibri"/>
      <family val="2"/>
      <scheme val="minor"/>
    </font>
    <font>
      <sz val="11"/>
      <color theme="9" tint="0.39994506668294322"/>
      <name val="Calibri"/>
      <family val="2"/>
      <scheme val="minor"/>
    </font>
    <font>
      <sz val="11"/>
      <name val="Calibri"/>
      <family val="2"/>
      <scheme val="minor"/>
    </font>
    <font>
      <sz val="11"/>
      <color rgb="FF7F7F7F"/>
      <name val="Calibri"/>
      <family val="2"/>
      <scheme val="minor"/>
    </font>
    <font>
      <sz val="11"/>
      <color theme="1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9"/>
      <color rgb="FF000000"/>
      <name val="Verdana"/>
      <family val="2"/>
      <charset val="162"/>
    </font>
    <font>
      <sz val="11"/>
      <color rgb="FF9C0006"/>
      <name val="Calibri"/>
      <family val="2"/>
      <charset val="162"/>
      <scheme val="minor"/>
    </font>
    <font>
      <sz val="11"/>
      <color rgb="FFFA7D00"/>
      <name val="Calibri"/>
      <family val="2"/>
      <charset val="162"/>
      <scheme val="minor"/>
    </font>
    <font>
      <sz val="11"/>
      <color rgb="FFFF0000"/>
      <name val="Calibri"/>
      <family val="2"/>
      <charset val="162"/>
      <scheme val="minor"/>
    </font>
    <font>
      <sz val="9"/>
      <color rgb="FF212121"/>
      <name val="Verdana"/>
      <family val="2"/>
      <charset val="162"/>
    </font>
    <font>
      <sz val="9"/>
      <color rgb="FFFF0000"/>
      <name val="Verdana"/>
      <family val="2"/>
      <charset val="162"/>
    </font>
    <font>
      <i/>
      <sz val="11"/>
      <name val="Calibri"/>
      <family val="2"/>
      <scheme val="minor"/>
    </font>
    <font>
      <sz val="11"/>
      <color rgb="FF333333"/>
      <name val="Calibri"/>
      <family val="2"/>
      <charset val="162"/>
      <scheme val="minor"/>
    </font>
    <font>
      <b/>
      <u/>
      <sz val="12"/>
      <color rgb="FFFF0000"/>
      <name val="Calibri"/>
      <family val="2"/>
      <scheme val="minor"/>
    </font>
    <font>
      <sz val="11"/>
      <color rgb="FF9C0006"/>
      <name val="Calibri"/>
      <family val="2"/>
      <scheme val="minor"/>
    </font>
    <font>
      <sz val="5"/>
      <color rgb="FF222222"/>
      <name val="Verdana"/>
      <family val="2"/>
    </font>
  </fonts>
  <fills count="27">
    <fill>
      <patternFill patternType="none"/>
    </fill>
    <fill>
      <patternFill patternType="gray125"/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DADADA"/>
        <bgColor indexed="64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FFFFCC"/>
      </patternFill>
    </fill>
    <fill>
      <patternFill patternType="solid">
        <fgColor rgb="FFFAFAFA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FEFEF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2">
    <xf numFmtId="0" fontId="0" fillId="0" borderId="0"/>
    <xf numFmtId="0" fontId="2" fillId="0" borderId="0" applyNumberFormat="0" applyFill="0" applyBorder="0" applyAlignment="0" applyProtection="0"/>
    <xf numFmtId="0" fontId="3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5" fillId="0" borderId="1" applyAlignment="0">
      <alignment horizontal="center" vertical="center"/>
    </xf>
    <xf numFmtId="0" fontId="11" fillId="17" borderId="0" applyNumberFormat="0" applyBorder="0" applyAlignment="0" applyProtection="0"/>
    <xf numFmtId="0" fontId="12" fillId="0" borderId="5" applyNumberFormat="0" applyFill="0" applyAlignment="0" applyProtection="0"/>
    <xf numFmtId="0" fontId="13" fillId="0" borderId="0" applyNumberFormat="0" applyFill="0" applyBorder="0" applyAlignment="0" applyProtection="0"/>
    <xf numFmtId="0" fontId="1" fillId="19" borderId="6" applyNumberFormat="0" applyFont="0" applyAlignment="0" applyProtection="0"/>
    <xf numFmtId="0" fontId="19" fillId="17" borderId="0" applyNumberFormat="0" applyBorder="0" applyAlignment="0" applyProtection="0"/>
  </cellStyleXfs>
  <cellXfs count="97">
    <xf numFmtId="0" fontId="0" fillId="0" borderId="0" xfId="0"/>
    <xf numFmtId="0" fontId="4" fillId="2" borderId="1" xfId="2" applyFont="1" applyBorder="1" applyAlignment="1">
      <alignment horizontal="left" wrapText="1"/>
    </xf>
    <xf numFmtId="0" fontId="4" fillId="2" borderId="1" xfId="2" applyFont="1" applyBorder="1" applyAlignment="1">
      <alignment horizontal="left"/>
    </xf>
    <xf numFmtId="0" fontId="6" fillId="6" borderId="1" xfId="6" applyFont="1" applyFill="1" applyAlignment="1">
      <alignment horizontal="center"/>
    </xf>
    <xf numFmtId="0" fontId="6" fillId="7" borderId="1" xfId="6" applyFont="1" applyFill="1" applyAlignment="1">
      <alignment horizontal="center"/>
    </xf>
    <xf numFmtId="0" fontId="6" fillId="8" borderId="1" xfId="6" applyFont="1" applyFill="1" applyAlignment="1">
      <alignment horizontal="center"/>
    </xf>
    <xf numFmtId="0" fontId="6" fillId="0" borderId="1" xfId="6" applyFont="1" applyAlignment="1">
      <alignment horizontal="center"/>
    </xf>
    <xf numFmtId="0" fontId="0" fillId="6" borderId="1" xfId="0" applyFill="1" applyBorder="1" applyAlignment="1">
      <alignment horizontal="left"/>
    </xf>
    <xf numFmtId="0" fontId="7" fillId="0" borderId="1" xfId="1" applyFont="1" applyBorder="1" applyAlignment="1">
      <alignment horizontal="center"/>
    </xf>
    <xf numFmtId="0" fontId="6" fillId="0" borderId="1" xfId="1" applyFont="1" applyBorder="1" applyAlignment="1">
      <alignment horizontal="center"/>
    </xf>
    <xf numFmtId="0" fontId="1" fillId="4" borderId="1" xfId="4" applyBorder="1" applyAlignment="1">
      <alignment horizontal="center"/>
    </xf>
    <xf numFmtId="0" fontId="1" fillId="3" borderId="1" xfId="3" applyBorder="1" applyAlignment="1">
      <alignment horizontal="center"/>
    </xf>
    <xf numFmtId="0" fontId="6" fillId="5" borderId="1" xfId="5" applyFont="1" applyBorder="1" applyAlignment="1">
      <alignment horizontal="center" wrapText="1"/>
    </xf>
    <xf numFmtId="0" fontId="8" fillId="9" borderId="1" xfId="0" applyFont="1" applyFill="1" applyBorder="1" applyAlignment="1">
      <alignment horizontal="left"/>
    </xf>
    <xf numFmtId="0" fontId="2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6" fillId="9" borderId="1" xfId="6" applyFont="1" applyFill="1" applyAlignment="1">
      <alignment horizontal="center"/>
    </xf>
    <xf numFmtId="0" fontId="0" fillId="7" borderId="1" xfId="0" applyFill="1" applyBorder="1" applyAlignment="1">
      <alignment horizontal="left"/>
    </xf>
    <xf numFmtId="0" fontId="9" fillId="0" borderId="1" xfId="1" applyFont="1" applyBorder="1" applyAlignment="1">
      <alignment horizontal="center"/>
    </xf>
    <xf numFmtId="0" fontId="6" fillId="10" borderId="1" xfId="6" applyFont="1" applyFill="1" applyAlignment="1">
      <alignment horizontal="center"/>
    </xf>
    <xf numFmtId="0" fontId="6" fillId="11" borderId="1" xfId="6" applyFont="1" applyFill="1" applyAlignment="1">
      <alignment horizontal="center"/>
    </xf>
    <xf numFmtId="0" fontId="6" fillId="12" borderId="1" xfId="6" applyFont="1" applyFill="1" applyAlignment="1">
      <alignment horizontal="center"/>
    </xf>
    <xf numFmtId="0" fontId="1" fillId="5" borderId="1" xfId="5" applyBorder="1" applyAlignment="1">
      <alignment horizontal="center" wrapText="1"/>
    </xf>
    <xf numFmtId="0" fontId="6" fillId="13" borderId="1" xfId="6" applyFont="1" applyFill="1" applyAlignment="1">
      <alignment horizontal="center"/>
    </xf>
    <xf numFmtId="0" fontId="4" fillId="2" borderId="3" xfId="2" applyFont="1" applyBorder="1" applyAlignment="1">
      <alignment horizontal="left" wrapText="1"/>
    </xf>
    <xf numFmtId="0" fontId="0" fillId="14" borderId="0" xfId="0" applyFill="1"/>
    <xf numFmtId="0" fontId="10" fillId="16" borderId="4" xfId="0" applyFont="1" applyFill="1" applyBorder="1" applyAlignment="1">
      <alignment horizontal="center" vertical="center"/>
    </xf>
    <xf numFmtId="0" fontId="10" fillId="16" borderId="4" xfId="0" applyFont="1" applyFill="1" applyBorder="1" applyAlignment="1">
      <alignment horizontal="left" vertical="center" indent="1"/>
    </xf>
    <xf numFmtId="0" fontId="0" fillId="14" borderId="2" xfId="0" applyFill="1" applyBorder="1" applyAlignment="1">
      <alignment horizontal="center" wrapText="1"/>
    </xf>
    <xf numFmtId="0" fontId="0" fillId="14" borderId="2" xfId="0" applyFill="1" applyBorder="1" applyAlignment="1">
      <alignment horizontal="center"/>
    </xf>
    <xf numFmtId="0" fontId="0" fillId="10" borderId="2" xfId="0" applyFill="1" applyBorder="1" applyAlignment="1">
      <alignment horizontal="center" wrapText="1"/>
    </xf>
    <xf numFmtId="0" fontId="0" fillId="10" borderId="2" xfId="0" applyFill="1" applyBorder="1" applyAlignment="1">
      <alignment horizontal="center"/>
    </xf>
    <xf numFmtId="0" fontId="0" fillId="10" borderId="2" xfId="0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0" fillId="15" borderId="2" xfId="0" applyFill="1" applyBorder="1" applyAlignment="1">
      <alignment horizontal="center" wrapText="1"/>
    </xf>
    <xf numFmtId="0" fontId="0" fillId="15" borderId="2" xfId="0" applyFill="1" applyBorder="1" applyAlignment="1">
      <alignment horizontal="center"/>
    </xf>
    <xf numFmtId="0" fontId="0" fillId="6" borderId="2" xfId="0" applyFill="1" applyBorder="1" applyAlignment="1">
      <alignment horizontal="center" wrapText="1"/>
    </xf>
    <xf numFmtId="0" fontId="0" fillId="6" borderId="2" xfId="0" applyFill="1" applyBorder="1" applyAlignment="1">
      <alignment horizontal="center"/>
    </xf>
    <xf numFmtId="0" fontId="10" fillId="9" borderId="4" xfId="0" applyFont="1" applyFill="1" applyBorder="1" applyAlignment="1">
      <alignment horizontal="center" vertical="center"/>
    </xf>
    <xf numFmtId="0" fontId="10" fillId="9" borderId="4" xfId="0" applyFont="1" applyFill="1" applyBorder="1" applyAlignment="1">
      <alignment horizontal="left" vertical="center" indent="1"/>
    </xf>
    <xf numFmtId="0" fontId="0" fillId="20" borderId="0" xfId="0" applyFill="1"/>
    <xf numFmtId="0" fontId="14" fillId="16" borderId="4" xfId="0" applyFont="1" applyFill="1" applyBorder="1" applyAlignment="1">
      <alignment horizontal="center" vertical="center"/>
    </xf>
    <xf numFmtId="0" fontId="14" fillId="16" borderId="4" xfId="0" applyFont="1" applyFill="1" applyBorder="1" applyAlignment="1">
      <alignment horizontal="left" vertical="center" indent="1"/>
    </xf>
    <xf numFmtId="0" fontId="0" fillId="0" borderId="0" xfId="0" applyAlignment="1">
      <alignment horizontal="center"/>
    </xf>
    <xf numFmtId="0" fontId="0" fillId="13" borderId="1" xfId="0" applyFill="1" applyBorder="1" applyAlignment="1">
      <alignment horizontal="center"/>
    </xf>
    <xf numFmtId="0" fontId="6" fillId="12" borderId="7" xfId="6" applyFont="1" applyFill="1" applyBorder="1" applyAlignment="1">
      <alignment horizontal="center"/>
    </xf>
    <xf numFmtId="0" fontId="6" fillId="13" borderId="7" xfId="6" applyFont="1" applyFill="1" applyBorder="1" applyAlignment="1">
      <alignment horizontal="center"/>
    </xf>
    <xf numFmtId="0" fontId="6" fillId="8" borderId="7" xfId="6" applyFont="1" applyFill="1" applyBorder="1" applyAlignment="1">
      <alignment horizontal="center"/>
    </xf>
    <xf numFmtId="0" fontId="6" fillId="0" borderId="7" xfId="6" applyFont="1" applyBorder="1" applyAlignment="1">
      <alignment horizontal="center"/>
    </xf>
    <xf numFmtId="0" fontId="0" fillId="6" borderId="7" xfId="0" applyFill="1" applyBorder="1" applyAlignment="1">
      <alignment horizontal="left"/>
    </xf>
    <xf numFmtId="0" fontId="0" fillId="0" borderId="7" xfId="0" applyBorder="1" applyAlignment="1">
      <alignment horizontal="center"/>
    </xf>
    <xf numFmtId="0" fontId="7" fillId="0" borderId="7" xfId="1" applyFont="1" applyBorder="1" applyAlignment="1">
      <alignment horizontal="center"/>
    </xf>
    <xf numFmtId="0" fontId="1" fillId="4" borderId="7" xfId="4" applyBorder="1" applyAlignment="1">
      <alignment horizontal="center"/>
    </xf>
    <xf numFmtId="0" fontId="1" fillId="3" borderId="7" xfId="3" applyBorder="1" applyAlignment="1">
      <alignment horizontal="center"/>
    </xf>
    <xf numFmtId="0" fontId="1" fillId="5" borderId="7" xfId="5" applyBorder="1" applyAlignment="1">
      <alignment horizontal="center" wrapText="1"/>
    </xf>
    <xf numFmtId="0" fontId="8" fillId="9" borderId="7" xfId="0" applyFont="1" applyFill="1" applyBorder="1" applyAlignment="1">
      <alignment horizontal="left"/>
    </xf>
    <xf numFmtId="0" fontId="6" fillId="8" borderId="1" xfId="6" applyFont="1" applyFill="1" applyBorder="1" applyAlignment="1">
      <alignment horizontal="center"/>
    </xf>
    <xf numFmtId="0" fontId="0" fillId="0" borderId="1" xfId="0" applyBorder="1"/>
    <xf numFmtId="0" fontId="6" fillId="0" borderId="1" xfId="6" applyFont="1" applyBorder="1" applyAlignment="1">
      <alignment horizontal="center"/>
    </xf>
    <xf numFmtId="0" fontId="14" fillId="16" borderId="1" xfId="0" applyFont="1" applyFill="1" applyBorder="1" applyAlignment="1">
      <alignment horizontal="center" vertical="center"/>
    </xf>
    <xf numFmtId="0" fontId="14" fillId="16" borderId="1" xfId="0" applyFont="1" applyFill="1" applyBorder="1" applyAlignment="1">
      <alignment horizontal="left" vertical="center" indent="1"/>
    </xf>
    <xf numFmtId="0" fontId="10" fillId="16" borderId="1" xfId="0" applyFont="1" applyFill="1" applyBorder="1" applyAlignment="1">
      <alignment horizontal="center" vertical="center"/>
    </xf>
    <xf numFmtId="0" fontId="10" fillId="16" borderId="1" xfId="0" applyFont="1" applyFill="1" applyBorder="1" applyAlignment="1">
      <alignment horizontal="left" vertical="center" indent="1"/>
    </xf>
    <xf numFmtId="0" fontId="4" fillId="2" borderId="1" xfId="2" applyFont="1" applyBorder="1" applyAlignment="1">
      <alignment horizontal="center" vertical="center" wrapText="1"/>
    </xf>
    <xf numFmtId="0" fontId="4" fillId="2" borderId="1" xfId="2" applyFont="1" applyBorder="1" applyAlignment="1">
      <alignment horizontal="left" vertical="center" wrapText="1"/>
    </xf>
    <xf numFmtId="0" fontId="6" fillId="21" borderId="1" xfId="6" applyFont="1" applyFill="1" applyAlignment="1">
      <alignment horizontal="center" vertical="center"/>
    </xf>
    <xf numFmtId="0" fontId="6" fillId="0" borderId="1" xfId="6" applyFont="1" applyAlignment="1">
      <alignment horizontal="center" vertical="center"/>
    </xf>
    <xf numFmtId="0" fontId="16" fillId="0" borderId="1" xfId="6" applyFont="1" applyAlignment="1">
      <alignment horizontal="center" vertical="center"/>
    </xf>
    <xf numFmtId="0" fontId="6" fillId="0" borderId="1" xfId="6" applyFont="1" applyAlignment="1">
      <alignment horizontal="left" vertical="center"/>
    </xf>
    <xf numFmtId="0" fontId="7" fillId="0" borderId="1" xfId="1" applyFont="1" applyBorder="1" applyAlignment="1">
      <alignment horizontal="center" vertical="center"/>
    </xf>
    <xf numFmtId="0" fontId="16" fillId="0" borderId="1" xfId="1" applyFont="1" applyBorder="1" applyAlignment="1">
      <alignment horizontal="center"/>
    </xf>
    <xf numFmtId="49" fontId="17" fillId="0" borderId="1" xfId="0" applyNumberFormat="1" applyFont="1" applyBorder="1" applyAlignment="1">
      <alignment horizontal="left"/>
    </xf>
    <xf numFmtId="0" fontId="6" fillId="6" borderId="1" xfId="6" applyFont="1" applyFill="1" applyAlignment="1">
      <alignment horizontal="center" vertical="center"/>
    </xf>
    <xf numFmtId="0" fontId="6" fillId="10" borderId="1" xfId="6" applyFont="1" applyFill="1" applyAlignment="1">
      <alignment horizontal="center" vertical="center"/>
    </xf>
    <xf numFmtId="0" fontId="6" fillId="22" borderId="1" xfId="6" applyFont="1" applyFill="1" applyAlignment="1">
      <alignment horizontal="center" vertical="center"/>
    </xf>
    <xf numFmtId="0" fontId="6" fillId="7" borderId="1" xfId="6" applyFont="1" applyFill="1" applyAlignment="1">
      <alignment horizontal="center" vertical="center"/>
    </xf>
    <xf numFmtId="0" fontId="6" fillId="12" borderId="1" xfId="6" applyFont="1" applyFill="1" applyAlignment="1">
      <alignment horizontal="center" vertical="center"/>
    </xf>
    <xf numFmtId="0" fontId="6" fillId="19" borderId="6" xfId="10" applyFont="1" applyAlignment="1">
      <alignment horizontal="left" vertical="center"/>
    </xf>
    <xf numFmtId="0" fontId="18" fillId="7" borderId="1" xfId="9" applyFont="1" applyFill="1" applyBorder="1" applyAlignment="1">
      <alignment horizontal="left" vertical="center"/>
    </xf>
    <xf numFmtId="0" fontId="12" fillId="18" borderId="5" xfId="8" applyFill="1" applyAlignment="1">
      <alignment horizontal="left" vertical="center"/>
    </xf>
    <xf numFmtId="0" fontId="6" fillId="10" borderId="1" xfId="6" applyFont="1" applyFill="1" applyAlignment="1">
      <alignment horizontal="left" vertical="center"/>
    </xf>
    <xf numFmtId="0" fontId="6" fillId="7" borderId="1" xfId="6" applyFont="1" applyFill="1" applyAlignment="1">
      <alignment horizontal="left" vertical="center"/>
    </xf>
    <xf numFmtId="49" fontId="11" fillId="17" borderId="1" xfId="7" applyNumberFormat="1" applyBorder="1" applyAlignment="1">
      <alignment horizontal="left"/>
    </xf>
    <xf numFmtId="0" fontId="6" fillId="23" borderId="1" xfId="6" applyFont="1" applyFill="1" applyAlignment="1">
      <alignment horizontal="left" vertical="center"/>
    </xf>
    <xf numFmtId="49" fontId="17" fillId="24" borderId="1" xfId="0" applyNumberFormat="1" applyFont="1" applyFill="1" applyBorder="1" applyAlignment="1">
      <alignment horizontal="left"/>
    </xf>
    <xf numFmtId="0" fontId="0" fillId="0" borderId="0" xfId="0" applyAlignment="1">
      <alignment horizontal="center" vertical="center"/>
    </xf>
    <xf numFmtId="0" fontId="6" fillId="0" borderId="0" xfId="6" applyFont="1" applyBorder="1" applyAlignment="1">
      <alignment horizontal="left" vertical="center"/>
    </xf>
    <xf numFmtId="0" fontId="1" fillId="4" borderId="0" xfId="4" applyAlignment="1">
      <alignment horizontal="center"/>
    </xf>
    <xf numFmtId="0" fontId="1" fillId="3" borderId="0" xfId="3" applyAlignment="1">
      <alignment horizontal="center"/>
    </xf>
    <xf numFmtId="0" fontId="1" fillId="4" borderId="0" xfId="4" applyAlignment="1"/>
    <xf numFmtId="0" fontId="1" fillId="3" borderId="0" xfId="3" applyAlignment="1"/>
    <xf numFmtId="0" fontId="1" fillId="5" borderId="0" xfId="5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  <xf numFmtId="0" fontId="20" fillId="25" borderId="0" xfId="0" applyFont="1" applyFill="1" applyAlignment="1">
      <alignment horizontal="center" vertical="center"/>
    </xf>
    <xf numFmtId="0" fontId="20" fillId="26" borderId="0" xfId="0" applyFont="1" applyFill="1" applyAlignment="1">
      <alignment horizontal="center" vertical="center"/>
    </xf>
  </cellXfs>
  <cellStyles count="12">
    <cellStyle name="%20 - Vurgu6" xfId="3" builtinId="50"/>
    <cellStyle name="%40 - Vurgu6" xfId="4" builtinId="51"/>
    <cellStyle name="%60 - Vurgu6" xfId="5" builtinId="52"/>
    <cellStyle name="Açıklama Metni" xfId="1" builtinId="53"/>
    <cellStyle name="Bad 2" xfId="11" xr:uid="{ECD98640-33F9-408E-9AE4-50C60CB88DAD}"/>
    <cellStyle name="Bağlı Hücre" xfId="8" builtinId="24"/>
    <cellStyle name="Kötü" xfId="7" builtinId="27"/>
    <cellStyle name="Normal" xfId="0" builtinId="0"/>
    <cellStyle name="Not" xfId="10" builtinId="10"/>
    <cellStyle name="Style 1" xfId="6" xr:uid="{D006EABB-06FA-4527-8224-E5AAD01F06F0}"/>
    <cellStyle name="Uyarı Metni" xfId="9" builtinId="11"/>
    <cellStyle name="Vurgu6" xfId="2" builtinId="4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2A59D-CEAF-4F74-96EC-53C3B7C5852C}">
  <sheetPr>
    <pageSetUpPr fitToPage="1"/>
  </sheetPr>
  <dimension ref="A1:P136"/>
  <sheetViews>
    <sheetView tabSelected="1" topLeftCell="B1" zoomScale="86" zoomScaleNormal="86" workbookViewId="0">
      <selection activeCell="D34" sqref="D34"/>
    </sheetView>
  </sheetViews>
  <sheetFormatPr defaultRowHeight="15" x14ac:dyDescent="0.25"/>
  <cols>
    <col min="1" max="1" width="17.42578125" customWidth="1"/>
    <col min="2" max="2" width="20.85546875" customWidth="1"/>
    <col min="3" max="3" width="17.28515625" customWidth="1"/>
    <col min="4" max="4" width="17.85546875" customWidth="1"/>
    <col min="5" max="5" width="32.5703125" bestFit="1" customWidth="1"/>
    <col min="6" max="6" width="14.140625" customWidth="1"/>
    <col min="12" max="12" width="14.85546875" customWidth="1"/>
    <col min="13" max="13" width="16.28515625" customWidth="1"/>
    <col min="14" max="14" width="122.85546875" customWidth="1"/>
    <col min="15" max="15" width="0.5703125" customWidth="1"/>
    <col min="16" max="16" width="40.7109375" customWidth="1"/>
  </cols>
  <sheetData>
    <row r="1" spans="1:16" ht="30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4" t="s">
        <v>356</v>
      </c>
      <c r="P1" s="24" t="s">
        <v>369</v>
      </c>
    </row>
    <row r="2" spans="1:16" ht="24" customHeight="1" x14ac:dyDescent="0.25">
      <c r="A2" s="3" t="s">
        <v>14</v>
      </c>
      <c r="B2" s="4" t="s">
        <v>15</v>
      </c>
      <c r="C2" s="5" t="s">
        <v>16</v>
      </c>
      <c r="D2" s="6" t="s">
        <v>17</v>
      </c>
      <c r="E2" s="7" t="s">
        <v>18</v>
      </c>
      <c r="F2" s="8" t="s">
        <v>19</v>
      </c>
      <c r="G2" s="9" t="s">
        <v>20</v>
      </c>
      <c r="H2" s="10">
        <v>1</v>
      </c>
      <c r="I2" s="11">
        <v>0</v>
      </c>
      <c r="J2" s="10">
        <v>0</v>
      </c>
      <c r="K2" s="11">
        <v>0</v>
      </c>
      <c r="L2" s="12">
        <f>K2+J2+I2+H2</f>
        <v>1</v>
      </c>
      <c r="M2" s="13" t="s">
        <v>21</v>
      </c>
      <c r="N2" s="13" t="s">
        <v>22</v>
      </c>
      <c r="O2" s="32" t="s">
        <v>349</v>
      </c>
    </row>
    <row r="3" spans="1:16" x14ac:dyDescent="0.25">
      <c r="A3" s="3" t="s">
        <v>14</v>
      </c>
      <c r="B3" s="4" t="s">
        <v>23</v>
      </c>
      <c r="C3" s="5" t="s">
        <v>16</v>
      </c>
      <c r="D3" s="6" t="s">
        <v>17</v>
      </c>
      <c r="E3" s="7" t="s">
        <v>24</v>
      </c>
      <c r="F3" s="6" t="s">
        <v>25</v>
      </c>
      <c r="G3" s="9" t="s">
        <v>20</v>
      </c>
      <c r="H3" s="10">
        <v>1</v>
      </c>
      <c r="I3" s="11">
        <v>0</v>
      </c>
      <c r="J3" s="10">
        <v>0</v>
      </c>
      <c r="K3" s="11">
        <v>0</v>
      </c>
      <c r="L3" s="12">
        <f>K3+J3+I3+H3</f>
        <v>1</v>
      </c>
      <c r="M3" s="13" t="s">
        <v>26</v>
      </c>
      <c r="N3" s="13" t="s">
        <v>27</v>
      </c>
      <c r="O3" s="32"/>
      <c r="P3" t="s">
        <v>360</v>
      </c>
    </row>
    <row r="4" spans="1:16" x14ac:dyDescent="0.25">
      <c r="A4" s="3" t="s">
        <v>14</v>
      </c>
      <c r="B4" s="4" t="s">
        <v>28</v>
      </c>
      <c r="C4" s="5" t="s">
        <v>16</v>
      </c>
      <c r="D4" s="6" t="s">
        <v>17</v>
      </c>
      <c r="E4" s="7" t="s">
        <v>29</v>
      </c>
      <c r="F4" s="8" t="s">
        <v>19</v>
      </c>
      <c r="G4" s="14" t="s">
        <v>30</v>
      </c>
      <c r="H4" s="10">
        <v>1</v>
      </c>
      <c r="I4" s="11">
        <v>0</v>
      </c>
      <c r="J4" s="10">
        <v>0</v>
      </c>
      <c r="K4" s="11">
        <v>0</v>
      </c>
      <c r="L4" s="12">
        <f t="shared" ref="L4:L49" si="0">K4+J4+I4+H4</f>
        <v>1</v>
      </c>
      <c r="M4" s="13" t="s">
        <v>31</v>
      </c>
      <c r="N4" s="13" t="s">
        <v>32</v>
      </c>
      <c r="O4" s="32"/>
      <c r="P4" t="s">
        <v>361</v>
      </c>
    </row>
    <row r="5" spans="1:16" x14ac:dyDescent="0.25">
      <c r="A5" s="3" t="s">
        <v>14</v>
      </c>
      <c r="B5" s="4" t="s">
        <v>33</v>
      </c>
      <c r="C5" s="5" t="s">
        <v>16</v>
      </c>
      <c r="D5" s="6" t="s">
        <v>17</v>
      </c>
      <c r="E5" s="7" t="s">
        <v>34</v>
      </c>
      <c r="F5" s="8" t="s">
        <v>19</v>
      </c>
      <c r="G5" s="14" t="s">
        <v>30</v>
      </c>
      <c r="H5" s="10">
        <v>1</v>
      </c>
      <c r="I5" s="11">
        <v>0</v>
      </c>
      <c r="J5" s="10">
        <v>0</v>
      </c>
      <c r="K5" s="11">
        <v>0</v>
      </c>
      <c r="L5" s="12">
        <f t="shared" si="0"/>
        <v>1</v>
      </c>
      <c r="M5" s="13" t="s">
        <v>35</v>
      </c>
      <c r="N5" s="13" t="s">
        <v>36</v>
      </c>
      <c r="O5" s="32"/>
    </row>
    <row r="6" spans="1:16" x14ac:dyDescent="0.25">
      <c r="A6" s="3" t="s">
        <v>14</v>
      </c>
      <c r="B6" s="4" t="s">
        <v>37</v>
      </c>
      <c r="C6" s="5" t="s">
        <v>16</v>
      </c>
      <c r="D6" s="6" t="s">
        <v>17</v>
      </c>
      <c r="E6" s="7" t="s">
        <v>38</v>
      </c>
      <c r="F6" s="8" t="s">
        <v>19</v>
      </c>
      <c r="G6" s="14" t="s">
        <v>30</v>
      </c>
      <c r="H6" s="10">
        <v>1</v>
      </c>
      <c r="I6" s="11">
        <v>0</v>
      </c>
      <c r="J6" s="10">
        <v>0</v>
      </c>
      <c r="K6" s="11">
        <v>0</v>
      </c>
      <c r="L6" s="12">
        <f t="shared" si="0"/>
        <v>1</v>
      </c>
      <c r="M6" s="13" t="s">
        <v>39</v>
      </c>
      <c r="N6" s="13" t="s">
        <v>40</v>
      </c>
      <c r="O6" s="32"/>
    </row>
    <row r="7" spans="1:16" x14ac:dyDescent="0.25">
      <c r="A7" s="3" t="s">
        <v>14</v>
      </c>
      <c r="B7" s="4" t="s">
        <v>41</v>
      </c>
      <c r="C7" s="5" t="s">
        <v>16</v>
      </c>
      <c r="D7" s="6" t="s">
        <v>17</v>
      </c>
      <c r="E7" s="7" t="s">
        <v>42</v>
      </c>
      <c r="F7" s="15" t="s">
        <v>43</v>
      </c>
      <c r="G7" s="14" t="s">
        <v>30</v>
      </c>
      <c r="H7" s="10">
        <v>1</v>
      </c>
      <c r="I7" s="11">
        <v>0</v>
      </c>
      <c r="J7" s="10">
        <v>0</v>
      </c>
      <c r="K7" s="11">
        <v>0</v>
      </c>
      <c r="L7" s="12">
        <f t="shared" si="0"/>
        <v>1</v>
      </c>
      <c r="M7" s="13" t="s">
        <v>44</v>
      </c>
      <c r="N7" s="13" t="s">
        <v>45</v>
      </c>
      <c r="O7" s="32"/>
      <c r="P7" t="s">
        <v>362</v>
      </c>
    </row>
    <row r="8" spans="1:16" x14ac:dyDescent="0.25">
      <c r="A8" s="3" t="s">
        <v>14</v>
      </c>
      <c r="B8" s="4" t="s">
        <v>46</v>
      </c>
      <c r="C8" s="5" t="s">
        <v>16</v>
      </c>
      <c r="D8" s="6" t="s">
        <v>17</v>
      </c>
      <c r="E8" s="7" t="s">
        <v>47</v>
      </c>
      <c r="F8" s="6" t="s">
        <v>25</v>
      </c>
      <c r="G8" s="14" t="s">
        <v>30</v>
      </c>
      <c r="H8" s="10">
        <v>1</v>
      </c>
      <c r="I8" s="11">
        <v>0</v>
      </c>
      <c r="J8" s="10">
        <v>0</v>
      </c>
      <c r="K8" s="11">
        <v>0</v>
      </c>
      <c r="L8" s="12">
        <f>K8+J8+I8+H8</f>
        <v>1</v>
      </c>
      <c r="M8" s="13" t="s">
        <v>48</v>
      </c>
      <c r="N8" s="13" t="s">
        <v>49</v>
      </c>
      <c r="O8" s="32"/>
    </row>
    <row r="9" spans="1:16" x14ac:dyDescent="0.25">
      <c r="A9" s="3" t="s">
        <v>14</v>
      </c>
      <c r="B9" s="4" t="s">
        <v>50</v>
      </c>
      <c r="C9" s="5" t="s">
        <v>16</v>
      </c>
      <c r="D9" s="16" t="s">
        <v>51</v>
      </c>
      <c r="E9" s="7" t="s">
        <v>52</v>
      </c>
      <c r="F9" s="8" t="s">
        <v>19</v>
      </c>
      <c r="G9" s="14" t="s">
        <v>30</v>
      </c>
      <c r="H9" s="10">
        <v>1</v>
      </c>
      <c r="I9" s="11">
        <v>0</v>
      </c>
      <c r="J9" s="10">
        <v>0</v>
      </c>
      <c r="K9" s="11">
        <v>0</v>
      </c>
      <c r="L9" s="12">
        <f t="shared" si="0"/>
        <v>1</v>
      </c>
      <c r="M9" s="13" t="s">
        <v>53</v>
      </c>
      <c r="N9" s="13" t="s">
        <v>54</v>
      </c>
      <c r="O9" s="32"/>
    </row>
    <row r="10" spans="1:16" x14ac:dyDescent="0.25">
      <c r="A10" s="3" t="s">
        <v>14</v>
      </c>
      <c r="B10" s="4" t="s">
        <v>55</v>
      </c>
      <c r="C10" s="5" t="s">
        <v>16</v>
      </c>
      <c r="D10" s="6" t="s">
        <v>17</v>
      </c>
      <c r="E10" s="7" t="s">
        <v>56</v>
      </c>
      <c r="F10" s="8" t="s">
        <v>19</v>
      </c>
      <c r="G10" s="14" t="s">
        <v>30</v>
      </c>
      <c r="H10" s="10">
        <v>1</v>
      </c>
      <c r="I10" s="11">
        <v>0</v>
      </c>
      <c r="J10" s="10">
        <v>0</v>
      </c>
      <c r="K10" s="11">
        <v>0</v>
      </c>
      <c r="L10" s="12">
        <f t="shared" si="0"/>
        <v>1</v>
      </c>
      <c r="M10" s="13" t="s">
        <v>57</v>
      </c>
      <c r="N10" s="13" t="s">
        <v>58</v>
      </c>
      <c r="O10" s="32"/>
    </row>
    <row r="11" spans="1:16" x14ac:dyDescent="0.25">
      <c r="A11" s="3" t="s">
        <v>14</v>
      </c>
      <c r="B11" s="4" t="s">
        <v>59</v>
      </c>
      <c r="C11" s="5" t="s">
        <v>16</v>
      </c>
      <c r="D11" s="6" t="s">
        <v>17</v>
      </c>
      <c r="E11" s="7" t="s">
        <v>60</v>
      </c>
      <c r="F11" s="8" t="s">
        <v>61</v>
      </c>
      <c r="G11" s="14" t="s">
        <v>30</v>
      </c>
      <c r="H11" s="10">
        <v>1</v>
      </c>
      <c r="I11" s="11">
        <v>0</v>
      </c>
      <c r="J11" s="10">
        <v>0</v>
      </c>
      <c r="K11" s="11">
        <v>0</v>
      </c>
      <c r="L11" s="12">
        <f t="shared" si="0"/>
        <v>1</v>
      </c>
      <c r="M11" s="13" t="s">
        <v>62</v>
      </c>
      <c r="N11" s="13" t="s">
        <v>63</v>
      </c>
      <c r="O11" s="32"/>
    </row>
    <row r="12" spans="1:16" x14ac:dyDescent="0.25">
      <c r="A12" s="3" t="s">
        <v>14</v>
      </c>
      <c r="B12" s="4" t="s">
        <v>64</v>
      </c>
      <c r="C12" s="5" t="s">
        <v>16</v>
      </c>
      <c r="D12" s="6" t="s">
        <v>17</v>
      </c>
      <c r="E12" s="7" t="s">
        <v>65</v>
      </c>
      <c r="F12" s="8" t="s">
        <v>19</v>
      </c>
      <c r="G12" s="14" t="s">
        <v>30</v>
      </c>
      <c r="H12" s="10">
        <v>1</v>
      </c>
      <c r="I12" s="11">
        <v>0</v>
      </c>
      <c r="J12" s="10">
        <v>0</v>
      </c>
      <c r="K12" s="11">
        <v>0</v>
      </c>
      <c r="L12" s="12">
        <f>K12+J12+I12+H12</f>
        <v>1</v>
      </c>
      <c r="M12" s="13" t="s">
        <v>66</v>
      </c>
      <c r="N12" s="13" t="s">
        <v>67</v>
      </c>
      <c r="O12" s="32"/>
    </row>
    <row r="13" spans="1:16" x14ac:dyDescent="0.25">
      <c r="A13" s="3" t="s">
        <v>14</v>
      </c>
      <c r="B13" s="4" t="s">
        <v>85</v>
      </c>
      <c r="C13" s="5" t="s">
        <v>16</v>
      </c>
      <c r="D13" s="6" t="s">
        <v>17</v>
      </c>
      <c r="E13" s="17" t="s">
        <v>86</v>
      </c>
      <c r="F13" s="15" t="s">
        <v>87</v>
      </c>
      <c r="G13" s="14" t="s">
        <v>30</v>
      </c>
      <c r="H13" s="10">
        <v>1</v>
      </c>
      <c r="I13" s="11">
        <v>0</v>
      </c>
      <c r="J13" s="10">
        <v>0</v>
      </c>
      <c r="K13" s="11">
        <v>0</v>
      </c>
      <c r="L13" s="12">
        <f>K13+J13+I13+H13</f>
        <v>1</v>
      </c>
      <c r="M13" s="13" t="s">
        <v>88</v>
      </c>
      <c r="N13" s="13" t="s">
        <v>89</v>
      </c>
      <c r="O13" s="32"/>
    </row>
    <row r="14" spans="1:16" x14ac:dyDescent="0.25">
      <c r="A14" s="3" t="s">
        <v>14</v>
      </c>
      <c r="B14" s="4" t="s">
        <v>68</v>
      </c>
      <c r="C14" s="5" t="s">
        <v>16</v>
      </c>
      <c r="D14" s="6" t="s">
        <v>17</v>
      </c>
      <c r="E14" s="17" t="s">
        <v>69</v>
      </c>
      <c r="F14" s="6" t="s">
        <v>25</v>
      </c>
      <c r="G14" s="14" t="s">
        <v>30</v>
      </c>
      <c r="H14" s="10">
        <v>1</v>
      </c>
      <c r="I14" s="11">
        <v>0</v>
      </c>
      <c r="J14" s="10">
        <v>0</v>
      </c>
      <c r="K14" s="11">
        <v>0</v>
      </c>
      <c r="L14" s="12">
        <f>K14+J14+I14+H14</f>
        <v>1</v>
      </c>
      <c r="M14" s="13" t="s">
        <v>70</v>
      </c>
      <c r="N14" s="13" t="s">
        <v>71</v>
      </c>
      <c r="O14" s="32"/>
    </row>
    <row r="15" spans="1:16" x14ac:dyDescent="0.25">
      <c r="A15" s="3" t="s">
        <v>14</v>
      </c>
      <c r="B15" s="4" t="s">
        <v>76</v>
      </c>
      <c r="C15" s="5" t="s">
        <v>16</v>
      </c>
      <c r="D15" s="6" t="s">
        <v>17</v>
      </c>
      <c r="E15" s="17" t="s">
        <v>77</v>
      </c>
      <c r="F15" s="6" t="s">
        <v>25</v>
      </c>
      <c r="G15" s="14" t="s">
        <v>30</v>
      </c>
      <c r="H15" s="10">
        <v>1</v>
      </c>
      <c r="I15" s="11">
        <v>0</v>
      </c>
      <c r="J15" s="10">
        <v>0</v>
      </c>
      <c r="K15" s="11">
        <v>0</v>
      </c>
      <c r="L15" s="12">
        <f>K15+J15+I15+H15</f>
        <v>1</v>
      </c>
      <c r="M15" s="13" t="s">
        <v>78</v>
      </c>
      <c r="N15" s="13" t="s">
        <v>79</v>
      </c>
      <c r="O15" s="32"/>
    </row>
    <row r="16" spans="1:16" x14ac:dyDescent="0.25">
      <c r="A16" s="3" t="s">
        <v>14</v>
      </c>
      <c r="B16" s="4" t="s">
        <v>90</v>
      </c>
      <c r="C16" s="5" t="s">
        <v>16</v>
      </c>
      <c r="D16" s="6" t="s">
        <v>17</v>
      </c>
      <c r="E16" s="17" t="s">
        <v>91</v>
      </c>
      <c r="F16" s="15" t="s">
        <v>87</v>
      </c>
      <c r="G16" s="14" t="s">
        <v>30</v>
      </c>
      <c r="H16" s="10">
        <v>1</v>
      </c>
      <c r="I16" s="11">
        <v>0</v>
      </c>
      <c r="J16" s="10">
        <v>0</v>
      </c>
      <c r="K16" s="11">
        <v>0</v>
      </c>
      <c r="L16" s="12">
        <f>K16+J16+I16+H16</f>
        <v>1</v>
      </c>
      <c r="M16" s="13" t="s">
        <v>92</v>
      </c>
      <c r="N16" s="13" t="s">
        <v>93</v>
      </c>
      <c r="O16" s="32"/>
    </row>
    <row r="17" spans="1:16" x14ac:dyDescent="0.25">
      <c r="A17" s="3" t="s">
        <v>14</v>
      </c>
      <c r="B17" s="4" t="s">
        <v>72</v>
      </c>
      <c r="C17" s="5" t="s">
        <v>16</v>
      </c>
      <c r="D17" s="6" t="s">
        <v>17</v>
      </c>
      <c r="E17" s="17" t="s">
        <v>73</v>
      </c>
      <c r="F17" s="6" t="s">
        <v>25</v>
      </c>
      <c r="G17" s="14" t="s">
        <v>30</v>
      </c>
      <c r="H17" s="10">
        <v>1</v>
      </c>
      <c r="I17" s="11">
        <v>0</v>
      </c>
      <c r="J17" s="10">
        <v>0</v>
      </c>
      <c r="K17" s="11">
        <v>0</v>
      </c>
      <c r="L17" s="12">
        <f>K17+J17+I17+H17</f>
        <v>1</v>
      </c>
      <c r="M17" s="13" t="s">
        <v>74</v>
      </c>
      <c r="N17" s="13" t="s">
        <v>75</v>
      </c>
      <c r="O17" s="32"/>
    </row>
    <row r="18" spans="1:16" x14ac:dyDescent="0.25">
      <c r="A18" s="3" t="s">
        <v>14</v>
      </c>
      <c r="B18" s="4" t="s">
        <v>94</v>
      </c>
      <c r="C18" s="5" t="s">
        <v>16</v>
      </c>
      <c r="D18" s="6" t="s">
        <v>17</v>
      </c>
      <c r="E18" s="17" t="s">
        <v>95</v>
      </c>
      <c r="F18" s="8" t="s">
        <v>19</v>
      </c>
      <c r="G18" s="14" t="s">
        <v>30</v>
      </c>
      <c r="H18" s="10">
        <v>1</v>
      </c>
      <c r="I18" s="11">
        <v>0</v>
      </c>
      <c r="J18" s="10">
        <v>0</v>
      </c>
      <c r="K18" s="11">
        <v>0</v>
      </c>
      <c r="L18" s="12">
        <f t="shared" si="0"/>
        <v>1</v>
      </c>
      <c r="M18" s="13" t="s">
        <v>96</v>
      </c>
      <c r="N18" s="13" t="s">
        <v>97</v>
      </c>
      <c r="O18" s="32"/>
    </row>
    <row r="19" spans="1:16" x14ac:dyDescent="0.25">
      <c r="A19" s="3" t="s">
        <v>14</v>
      </c>
      <c r="B19" s="4" t="s">
        <v>98</v>
      </c>
      <c r="C19" s="5" t="s">
        <v>16</v>
      </c>
      <c r="D19" s="6" t="s">
        <v>17</v>
      </c>
      <c r="E19" s="17" t="s">
        <v>99</v>
      </c>
      <c r="F19" s="6" t="s">
        <v>25</v>
      </c>
      <c r="G19" s="14" t="s">
        <v>30</v>
      </c>
      <c r="H19" s="10">
        <v>1</v>
      </c>
      <c r="I19" s="11">
        <v>0</v>
      </c>
      <c r="J19" s="10">
        <v>0</v>
      </c>
      <c r="K19" s="11">
        <v>0</v>
      </c>
      <c r="L19" s="12">
        <f t="shared" si="0"/>
        <v>1</v>
      </c>
      <c r="M19" s="13" t="s">
        <v>100</v>
      </c>
      <c r="N19" s="13" t="s">
        <v>101</v>
      </c>
      <c r="O19" s="32"/>
    </row>
    <row r="20" spans="1:16" x14ac:dyDescent="0.25">
      <c r="A20" s="3" t="s">
        <v>14</v>
      </c>
      <c r="B20" s="4" t="s">
        <v>80</v>
      </c>
      <c r="C20" s="5" t="s">
        <v>16</v>
      </c>
      <c r="D20" s="6" t="s">
        <v>17</v>
      </c>
      <c r="E20" s="17" t="s">
        <v>81</v>
      </c>
      <c r="F20" s="8" t="s">
        <v>82</v>
      </c>
      <c r="G20" s="14" t="s">
        <v>30</v>
      </c>
      <c r="H20" s="10">
        <v>1</v>
      </c>
      <c r="I20" s="11">
        <v>0</v>
      </c>
      <c r="J20" s="10">
        <v>0</v>
      </c>
      <c r="K20" s="11">
        <v>0</v>
      </c>
      <c r="L20" s="12">
        <f>K20+J20+I20+H20</f>
        <v>1</v>
      </c>
      <c r="M20" s="13" t="s">
        <v>83</v>
      </c>
      <c r="N20" s="13" t="s">
        <v>84</v>
      </c>
      <c r="O20" s="32"/>
    </row>
    <row r="21" spans="1:16" x14ac:dyDescent="0.25">
      <c r="A21" s="3" t="s">
        <v>14</v>
      </c>
      <c r="B21" s="4" t="s">
        <v>102</v>
      </c>
      <c r="C21" s="5" t="s">
        <v>16</v>
      </c>
      <c r="D21" s="6" t="s">
        <v>17</v>
      </c>
      <c r="E21" s="17" t="s">
        <v>103</v>
      </c>
      <c r="F21" s="8" t="s">
        <v>61</v>
      </c>
      <c r="G21" s="14" t="s">
        <v>30</v>
      </c>
      <c r="H21" s="10">
        <v>1</v>
      </c>
      <c r="I21" s="11">
        <v>0</v>
      </c>
      <c r="J21" s="10">
        <v>0</v>
      </c>
      <c r="K21" s="11">
        <v>0</v>
      </c>
      <c r="L21" s="12">
        <f t="shared" si="0"/>
        <v>1</v>
      </c>
      <c r="M21" s="13" t="s">
        <v>104</v>
      </c>
      <c r="N21" s="13" t="s">
        <v>105</v>
      </c>
      <c r="O21" s="32"/>
    </row>
    <row r="22" spans="1:16" x14ac:dyDescent="0.25">
      <c r="A22" s="3" t="s">
        <v>14</v>
      </c>
      <c r="B22" s="4" t="s">
        <v>106</v>
      </c>
      <c r="C22" s="5" t="s">
        <v>16</v>
      </c>
      <c r="D22" s="6" t="s">
        <v>17</v>
      </c>
      <c r="E22" s="17" t="s">
        <v>107</v>
      </c>
      <c r="F22" s="8" t="s">
        <v>19</v>
      </c>
      <c r="G22" s="14" t="s">
        <v>30</v>
      </c>
      <c r="H22" s="10">
        <v>1</v>
      </c>
      <c r="I22" s="11">
        <v>0</v>
      </c>
      <c r="J22" s="10">
        <v>0</v>
      </c>
      <c r="K22" s="11">
        <v>0</v>
      </c>
      <c r="L22" s="12">
        <f t="shared" si="0"/>
        <v>1</v>
      </c>
      <c r="M22" s="13" t="s">
        <v>108</v>
      </c>
      <c r="N22" s="13" t="s">
        <v>109</v>
      </c>
      <c r="O22" s="32"/>
    </row>
    <row r="23" spans="1:16" x14ac:dyDescent="0.25">
      <c r="A23" s="3" t="s">
        <v>14</v>
      </c>
      <c r="B23" s="4" t="s">
        <v>110</v>
      </c>
      <c r="C23" s="5" t="s">
        <v>16</v>
      </c>
      <c r="D23" s="6" t="s">
        <v>17</v>
      </c>
      <c r="E23" s="17" t="s">
        <v>111</v>
      </c>
      <c r="F23" s="6" t="s">
        <v>25</v>
      </c>
      <c r="G23" s="9" t="s">
        <v>20</v>
      </c>
      <c r="H23" s="10">
        <v>1</v>
      </c>
      <c r="I23" s="11">
        <v>0</v>
      </c>
      <c r="J23" s="10">
        <v>0</v>
      </c>
      <c r="K23" s="11">
        <v>0</v>
      </c>
      <c r="L23" s="12">
        <f>K23+J23+I23+H23</f>
        <v>1</v>
      </c>
      <c r="M23" s="13" t="s">
        <v>112</v>
      </c>
      <c r="N23" s="13" t="s">
        <v>113</v>
      </c>
      <c r="O23" s="32"/>
      <c r="P23" t="s">
        <v>363</v>
      </c>
    </row>
    <row r="24" spans="1:16" x14ac:dyDescent="0.25">
      <c r="A24" s="3" t="s">
        <v>14</v>
      </c>
      <c r="B24" s="4" t="s">
        <v>119</v>
      </c>
      <c r="C24" s="5" t="s">
        <v>16</v>
      </c>
      <c r="D24" s="6" t="s">
        <v>17</v>
      </c>
      <c r="E24" s="17" t="s">
        <v>120</v>
      </c>
      <c r="F24" s="6" t="s">
        <v>25</v>
      </c>
      <c r="G24" s="9" t="s">
        <v>20</v>
      </c>
      <c r="H24" s="10">
        <v>1</v>
      </c>
      <c r="I24" s="11">
        <v>0</v>
      </c>
      <c r="J24" s="10">
        <v>0</v>
      </c>
      <c r="K24" s="11">
        <v>0</v>
      </c>
      <c r="L24" s="12">
        <f>K24+J24+I24+H24</f>
        <v>1</v>
      </c>
      <c r="M24" s="13" t="s">
        <v>121</v>
      </c>
      <c r="N24" s="13" t="s">
        <v>122</v>
      </c>
      <c r="O24" s="32"/>
    </row>
    <row r="25" spans="1:16" x14ac:dyDescent="0.25">
      <c r="A25" s="3" t="s">
        <v>14</v>
      </c>
      <c r="B25" s="4" t="s">
        <v>114</v>
      </c>
      <c r="C25" s="5" t="s">
        <v>16</v>
      </c>
      <c r="D25" s="6" t="s">
        <v>17</v>
      </c>
      <c r="E25" s="17" t="s">
        <v>115</v>
      </c>
      <c r="F25" s="18" t="s">
        <v>116</v>
      </c>
      <c r="G25" s="9" t="s">
        <v>20</v>
      </c>
      <c r="H25" s="10">
        <v>1</v>
      </c>
      <c r="I25" s="11">
        <v>0</v>
      </c>
      <c r="J25" s="10">
        <v>0</v>
      </c>
      <c r="K25" s="11">
        <v>0</v>
      </c>
      <c r="L25" s="12">
        <f>K25+J25+I25+H25</f>
        <v>1</v>
      </c>
      <c r="M25" s="13" t="s">
        <v>117</v>
      </c>
      <c r="N25" s="13" t="s">
        <v>118</v>
      </c>
      <c r="O25" s="32"/>
    </row>
    <row r="26" spans="1:16" ht="21.75" customHeight="1" x14ac:dyDescent="0.25">
      <c r="A26" s="19" t="s">
        <v>123</v>
      </c>
      <c r="B26" s="20" t="s">
        <v>124</v>
      </c>
      <c r="C26" s="5" t="s">
        <v>16</v>
      </c>
      <c r="D26" s="6" t="s">
        <v>125</v>
      </c>
      <c r="E26" s="7" t="s">
        <v>126</v>
      </c>
      <c r="F26" s="8" t="s">
        <v>19</v>
      </c>
      <c r="G26" s="14" t="s">
        <v>30</v>
      </c>
      <c r="H26" s="10">
        <v>1</v>
      </c>
      <c r="I26" s="11">
        <v>0</v>
      </c>
      <c r="J26" s="10">
        <v>0</v>
      </c>
      <c r="K26" s="11">
        <v>0</v>
      </c>
      <c r="L26" s="12">
        <f t="shared" si="0"/>
        <v>1</v>
      </c>
      <c r="M26" s="13" t="s">
        <v>127</v>
      </c>
      <c r="N26" s="13" t="s">
        <v>128</v>
      </c>
      <c r="O26" s="33" t="s">
        <v>350</v>
      </c>
    </row>
    <row r="27" spans="1:16" x14ac:dyDescent="0.25">
      <c r="A27" s="19" t="s">
        <v>123</v>
      </c>
      <c r="B27" s="20" t="s">
        <v>129</v>
      </c>
      <c r="C27" s="5" t="s">
        <v>16</v>
      </c>
      <c r="D27" s="6" t="s">
        <v>125</v>
      </c>
      <c r="E27" s="7" t="s">
        <v>130</v>
      </c>
      <c r="F27" s="8" t="s">
        <v>19</v>
      </c>
      <c r="G27" s="14" t="s">
        <v>30</v>
      </c>
      <c r="H27" s="10">
        <v>1</v>
      </c>
      <c r="I27" s="11">
        <v>0</v>
      </c>
      <c r="J27" s="10">
        <v>0</v>
      </c>
      <c r="K27" s="11">
        <v>0</v>
      </c>
      <c r="L27" s="12">
        <f>K27+J27+I27+H27</f>
        <v>1</v>
      </c>
      <c r="M27" s="13" t="s">
        <v>131</v>
      </c>
      <c r="N27" s="13" t="s">
        <v>132</v>
      </c>
      <c r="O27" s="33"/>
    </row>
    <row r="28" spans="1:16" x14ac:dyDescent="0.25">
      <c r="A28" s="19" t="s">
        <v>123</v>
      </c>
      <c r="B28" s="20" t="s">
        <v>133</v>
      </c>
      <c r="C28" s="5" t="s">
        <v>16</v>
      </c>
      <c r="D28" s="6" t="s">
        <v>125</v>
      </c>
      <c r="E28" s="7" t="s">
        <v>134</v>
      </c>
      <c r="F28" s="6" t="s">
        <v>25</v>
      </c>
      <c r="G28" s="14" t="s">
        <v>30</v>
      </c>
      <c r="H28" s="10">
        <v>1</v>
      </c>
      <c r="I28" s="11">
        <v>0</v>
      </c>
      <c r="J28" s="10">
        <v>0</v>
      </c>
      <c r="K28" s="11">
        <v>0</v>
      </c>
      <c r="L28" s="12">
        <f t="shared" si="0"/>
        <v>1</v>
      </c>
      <c r="M28" s="13" t="s">
        <v>135</v>
      </c>
      <c r="N28" s="13" t="s">
        <v>136</v>
      </c>
      <c r="O28" s="33"/>
      <c r="P28" t="s">
        <v>364</v>
      </c>
    </row>
    <row r="29" spans="1:16" x14ac:dyDescent="0.25">
      <c r="A29" s="19" t="s">
        <v>123</v>
      </c>
      <c r="B29" s="20" t="s">
        <v>137</v>
      </c>
      <c r="C29" s="5" t="s">
        <v>16</v>
      </c>
      <c r="D29" s="6" t="s">
        <v>125</v>
      </c>
      <c r="E29" s="7" t="s">
        <v>138</v>
      </c>
      <c r="F29" s="8" t="s">
        <v>19</v>
      </c>
      <c r="G29" s="14" t="s">
        <v>30</v>
      </c>
      <c r="H29" s="10">
        <v>1</v>
      </c>
      <c r="I29" s="11">
        <v>0</v>
      </c>
      <c r="J29" s="10">
        <v>0</v>
      </c>
      <c r="K29" s="11">
        <v>0</v>
      </c>
      <c r="L29" s="12">
        <f t="shared" si="0"/>
        <v>1</v>
      </c>
      <c r="M29" s="13" t="s">
        <v>139</v>
      </c>
      <c r="N29" s="13" t="s">
        <v>140</v>
      </c>
      <c r="O29" s="33"/>
    </row>
    <row r="30" spans="1:16" x14ac:dyDescent="0.25">
      <c r="A30" s="19" t="s">
        <v>123</v>
      </c>
      <c r="B30" s="20" t="s">
        <v>141</v>
      </c>
      <c r="C30" s="5" t="s">
        <v>16</v>
      </c>
      <c r="D30" s="6" t="s">
        <v>125</v>
      </c>
      <c r="E30" s="7" t="s">
        <v>142</v>
      </c>
      <c r="F30" s="6" t="s">
        <v>25</v>
      </c>
      <c r="G30" s="14" t="s">
        <v>30</v>
      </c>
      <c r="H30" s="10">
        <v>1</v>
      </c>
      <c r="I30" s="11">
        <v>0</v>
      </c>
      <c r="J30" s="10">
        <v>0</v>
      </c>
      <c r="K30" s="11">
        <v>0</v>
      </c>
      <c r="L30" s="12">
        <f t="shared" si="0"/>
        <v>1</v>
      </c>
      <c r="M30" s="13" t="s">
        <v>143</v>
      </c>
      <c r="N30" s="13" t="s">
        <v>144</v>
      </c>
      <c r="O30" s="33"/>
    </row>
    <row r="31" spans="1:16" x14ac:dyDescent="0.25">
      <c r="A31" s="19" t="s">
        <v>123</v>
      </c>
      <c r="B31" s="20" t="s">
        <v>145</v>
      </c>
      <c r="C31" s="5" t="s">
        <v>16</v>
      </c>
      <c r="D31" s="6" t="s">
        <v>125</v>
      </c>
      <c r="E31" s="7" t="s">
        <v>146</v>
      </c>
      <c r="F31" s="6" t="s">
        <v>25</v>
      </c>
      <c r="G31" s="14" t="s">
        <v>30</v>
      </c>
      <c r="H31" s="10">
        <v>1</v>
      </c>
      <c r="I31" s="11">
        <v>0</v>
      </c>
      <c r="J31" s="10">
        <v>0</v>
      </c>
      <c r="K31" s="11">
        <v>0</v>
      </c>
      <c r="L31" s="12">
        <f t="shared" si="0"/>
        <v>1</v>
      </c>
      <c r="M31" s="13" t="s">
        <v>147</v>
      </c>
      <c r="N31" s="13" t="s">
        <v>148</v>
      </c>
      <c r="O31" s="33"/>
    </row>
    <row r="32" spans="1:16" x14ac:dyDescent="0.25">
      <c r="A32" s="19" t="s">
        <v>123</v>
      </c>
      <c r="B32" s="20" t="s">
        <v>149</v>
      </c>
      <c r="C32" s="5" t="s">
        <v>16</v>
      </c>
      <c r="D32" s="6" t="s">
        <v>125</v>
      </c>
      <c r="E32" s="7" t="s">
        <v>150</v>
      </c>
      <c r="F32" s="8" t="s">
        <v>19</v>
      </c>
      <c r="G32" s="14" t="s">
        <v>30</v>
      </c>
      <c r="H32" s="10">
        <v>1</v>
      </c>
      <c r="I32" s="11">
        <v>0</v>
      </c>
      <c r="J32" s="10">
        <v>0</v>
      </c>
      <c r="K32" s="11">
        <v>0</v>
      </c>
      <c r="L32" s="12">
        <f t="shared" si="0"/>
        <v>1</v>
      </c>
      <c r="M32" s="13" t="s">
        <v>151</v>
      </c>
      <c r="N32" s="13" t="s">
        <v>152</v>
      </c>
      <c r="O32" s="33"/>
      <c r="P32" t="s">
        <v>365</v>
      </c>
    </row>
    <row r="33" spans="1:16" x14ac:dyDescent="0.25">
      <c r="A33" s="19" t="s">
        <v>123</v>
      </c>
      <c r="B33" s="20" t="s">
        <v>153</v>
      </c>
      <c r="C33" s="5" t="s">
        <v>16</v>
      </c>
      <c r="D33" s="6" t="s">
        <v>125</v>
      </c>
      <c r="E33" s="7" t="s">
        <v>154</v>
      </c>
      <c r="F33" s="6" t="s">
        <v>25</v>
      </c>
      <c r="G33" s="14" t="s">
        <v>30</v>
      </c>
      <c r="H33" s="10">
        <v>1</v>
      </c>
      <c r="I33" s="11">
        <v>0</v>
      </c>
      <c r="J33" s="10">
        <v>0</v>
      </c>
      <c r="K33" s="11">
        <v>0</v>
      </c>
      <c r="L33" s="12">
        <f t="shared" si="0"/>
        <v>1</v>
      </c>
      <c r="M33" s="13" t="s">
        <v>155</v>
      </c>
      <c r="N33" s="13" t="s">
        <v>156</v>
      </c>
      <c r="O33" s="33"/>
      <c r="P33" t="s">
        <v>366</v>
      </c>
    </row>
    <row r="34" spans="1:16" x14ac:dyDescent="0.25">
      <c r="A34" s="19" t="s">
        <v>123</v>
      </c>
      <c r="B34" s="20" t="s">
        <v>157</v>
      </c>
      <c r="C34" s="5" t="s">
        <v>16</v>
      </c>
      <c r="D34" s="6" t="s">
        <v>125</v>
      </c>
      <c r="E34" s="7" t="s">
        <v>158</v>
      </c>
      <c r="F34" s="8" t="s">
        <v>19</v>
      </c>
      <c r="G34" s="14" t="s">
        <v>30</v>
      </c>
      <c r="H34" s="10">
        <v>1</v>
      </c>
      <c r="I34" s="11">
        <v>0</v>
      </c>
      <c r="J34" s="10">
        <v>0</v>
      </c>
      <c r="K34" s="11">
        <v>0</v>
      </c>
      <c r="L34" s="12">
        <f>K34+J34+I34+H34</f>
        <v>1</v>
      </c>
      <c r="M34" s="13" t="s">
        <v>159</v>
      </c>
      <c r="N34" s="13" t="s">
        <v>160</v>
      </c>
      <c r="O34" s="33"/>
    </row>
    <row r="35" spans="1:16" x14ac:dyDescent="0.25">
      <c r="A35" s="19" t="s">
        <v>123</v>
      </c>
      <c r="B35" s="20" t="s">
        <v>161</v>
      </c>
      <c r="C35" s="5" t="s">
        <v>16</v>
      </c>
      <c r="D35" s="6" t="s">
        <v>125</v>
      </c>
      <c r="E35" s="7" t="s">
        <v>162</v>
      </c>
      <c r="F35" s="8" t="s">
        <v>19</v>
      </c>
      <c r="G35" s="14" t="s">
        <v>30</v>
      </c>
      <c r="H35" s="10">
        <v>1</v>
      </c>
      <c r="I35" s="11">
        <v>0</v>
      </c>
      <c r="J35" s="10">
        <v>0</v>
      </c>
      <c r="K35" s="11">
        <v>0</v>
      </c>
      <c r="L35" s="12">
        <f t="shared" ref="L35" si="1">K35+J35+I35+H35</f>
        <v>1</v>
      </c>
      <c r="M35" s="13" t="s">
        <v>163</v>
      </c>
      <c r="N35" s="13" t="s">
        <v>164</v>
      </c>
      <c r="O35" s="33"/>
    </row>
    <row r="36" spans="1:16" x14ac:dyDescent="0.25">
      <c r="A36" s="19" t="s">
        <v>123</v>
      </c>
      <c r="B36" s="20" t="s">
        <v>165</v>
      </c>
      <c r="C36" s="5" t="s">
        <v>16</v>
      </c>
      <c r="D36" s="6" t="s">
        <v>125</v>
      </c>
      <c r="E36" s="7" t="s">
        <v>166</v>
      </c>
      <c r="F36" s="8" t="s">
        <v>19</v>
      </c>
      <c r="G36" s="14" t="s">
        <v>30</v>
      </c>
      <c r="H36" s="10">
        <v>1</v>
      </c>
      <c r="I36" s="11">
        <v>0</v>
      </c>
      <c r="J36" s="10">
        <v>0</v>
      </c>
      <c r="K36" s="11">
        <v>0</v>
      </c>
      <c r="L36" s="12">
        <f>K36+J36+I36+H36</f>
        <v>1</v>
      </c>
      <c r="M36" s="13" t="s">
        <v>167</v>
      </c>
      <c r="N36" s="13" t="s">
        <v>168</v>
      </c>
      <c r="O36" s="33"/>
    </row>
    <row r="37" spans="1:16" x14ac:dyDescent="0.25">
      <c r="A37" s="19" t="s">
        <v>123</v>
      </c>
      <c r="B37" s="20" t="s">
        <v>169</v>
      </c>
      <c r="C37" s="5" t="s">
        <v>16</v>
      </c>
      <c r="D37" s="6" t="s">
        <v>125</v>
      </c>
      <c r="E37" s="7" t="s">
        <v>170</v>
      </c>
      <c r="F37" s="6" t="s">
        <v>25</v>
      </c>
      <c r="G37" s="14" t="s">
        <v>30</v>
      </c>
      <c r="H37" s="10">
        <v>1</v>
      </c>
      <c r="I37" s="11">
        <v>0</v>
      </c>
      <c r="J37" s="10">
        <v>0</v>
      </c>
      <c r="K37" s="11">
        <v>0</v>
      </c>
      <c r="L37" s="12">
        <f t="shared" si="0"/>
        <v>1</v>
      </c>
      <c r="M37" s="13" t="s">
        <v>171</v>
      </c>
      <c r="N37" s="13" t="s">
        <v>172</v>
      </c>
      <c r="O37" s="33"/>
    </row>
    <row r="38" spans="1:16" x14ac:dyDescent="0.25">
      <c r="A38" s="19" t="s">
        <v>123</v>
      </c>
      <c r="B38" s="20" t="s">
        <v>173</v>
      </c>
      <c r="C38" s="5" t="s">
        <v>16</v>
      </c>
      <c r="D38" s="6" t="s">
        <v>125</v>
      </c>
      <c r="E38" s="7" t="s">
        <v>174</v>
      </c>
      <c r="F38" s="8" t="s">
        <v>19</v>
      </c>
      <c r="G38" s="14" t="s">
        <v>30</v>
      </c>
      <c r="H38" s="10">
        <v>1</v>
      </c>
      <c r="I38" s="11">
        <v>0</v>
      </c>
      <c r="J38" s="10">
        <v>0</v>
      </c>
      <c r="K38" s="11">
        <v>0</v>
      </c>
      <c r="L38" s="12">
        <f t="shared" si="0"/>
        <v>1</v>
      </c>
      <c r="M38" s="13" t="s">
        <v>175</v>
      </c>
      <c r="N38" s="13" t="s">
        <v>176</v>
      </c>
      <c r="O38" s="33"/>
    </row>
    <row r="39" spans="1:16" x14ac:dyDescent="0.25">
      <c r="A39" s="19" t="s">
        <v>123</v>
      </c>
      <c r="B39" s="20" t="s">
        <v>177</v>
      </c>
      <c r="C39" s="5" t="s">
        <v>16</v>
      </c>
      <c r="D39" s="6" t="s">
        <v>125</v>
      </c>
      <c r="E39" s="7" t="s">
        <v>178</v>
      </c>
      <c r="F39" s="6" t="s">
        <v>25</v>
      </c>
      <c r="G39" s="14" t="s">
        <v>30</v>
      </c>
      <c r="H39" s="10">
        <v>1</v>
      </c>
      <c r="I39" s="11">
        <v>0</v>
      </c>
      <c r="J39" s="10">
        <v>0</v>
      </c>
      <c r="K39" s="11">
        <v>0</v>
      </c>
      <c r="L39" s="12">
        <f t="shared" si="0"/>
        <v>1</v>
      </c>
      <c r="M39" s="13" t="s">
        <v>179</v>
      </c>
      <c r="N39" s="13" t="s">
        <v>180</v>
      </c>
      <c r="O39" s="33"/>
      <c r="P39" t="s">
        <v>367</v>
      </c>
    </row>
    <row r="40" spans="1:16" x14ac:dyDescent="0.25">
      <c r="A40" s="19" t="s">
        <v>123</v>
      </c>
      <c r="B40" s="20" t="s">
        <v>181</v>
      </c>
      <c r="C40" s="5" t="s">
        <v>16</v>
      </c>
      <c r="D40" s="6" t="s">
        <v>125</v>
      </c>
      <c r="E40" s="7" t="s">
        <v>182</v>
      </c>
      <c r="F40" s="8" t="s">
        <v>183</v>
      </c>
      <c r="G40" s="14" t="s">
        <v>30</v>
      </c>
      <c r="H40" s="10">
        <v>1</v>
      </c>
      <c r="I40" s="11">
        <v>0</v>
      </c>
      <c r="J40" s="10">
        <v>0</v>
      </c>
      <c r="K40" s="11">
        <v>0</v>
      </c>
      <c r="L40" s="12">
        <f>K40+J40+I40+H40</f>
        <v>1</v>
      </c>
      <c r="M40" s="13" t="s">
        <v>184</v>
      </c>
      <c r="N40" s="13" t="s">
        <v>185</v>
      </c>
      <c r="O40" s="33"/>
      <c r="P40" t="s">
        <v>367</v>
      </c>
    </row>
    <row r="41" spans="1:16" x14ac:dyDescent="0.25">
      <c r="A41" s="19" t="s">
        <v>123</v>
      </c>
      <c r="B41" s="20" t="s">
        <v>186</v>
      </c>
      <c r="C41" s="5" t="s">
        <v>16</v>
      </c>
      <c r="D41" s="6" t="s">
        <v>125</v>
      </c>
      <c r="E41" s="17" t="s">
        <v>187</v>
      </c>
      <c r="F41" s="8" t="s">
        <v>19</v>
      </c>
      <c r="G41" s="14" t="s">
        <v>30</v>
      </c>
      <c r="H41" s="10">
        <v>1</v>
      </c>
      <c r="I41" s="11">
        <v>0</v>
      </c>
      <c r="J41" s="10">
        <v>0</v>
      </c>
      <c r="K41" s="11">
        <v>0</v>
      </c>
      <c r="L41" s="12">
        <f t="shared" si="0"/>
        <v>1</v>
      </c>
      <c r="M41" s="13" t="s">
        <v>188</v>
      </c>
      <c r="N41" s="13" t="s">
        <v>189</v>
      </c>
      <c r="O41" s="33"/>
    </row>
    <row r="42" spans="1:16" x14ac:dyDescent="0.25">
      <c r="A42" s="19" t="s">
        <v>123</v>
      </c>
      <c r="B42" s="20" t="s">
        <v>190</v>
      </c>
      <c r="C42" s="5" t="s">
        <v>16</v>
      </c>
      <c r="D42" s="6" t="s">
        <v>125</v>
      </c>
      <c r="E42" s="17" t="s">
        <v>191</v>
      </c>
      <c r="F42" s="8" t="s">
        <v>19</v>
      </c>
      <c r="G42" s="14" t="s">
        <v>30</v>
      </c>
      <c r="H42" s="10">
        <v>1</v>
      </c>
      <c r="I42" s="11">
        <v>0</v>
      </c>
      <c r="J42" s="10">
        <v>0</v>
      </c>
      <c r="K42" s="11">
        <v>0</v>
      </c>
      <c r="L42" s="12">
        <f t="shared" si="0"/>
        <v>1</v>
      </c>
      <c r="M42" s="13" t="s">
        <v>192</v>
      </c>
      <c r="N42" s="13" t="s">
        <v>193</v>
      </c>
      <c r="O42" s="33"/>
    </row>
    <row r="43" spans="1:16" x14ac:dyDescent="0.25">
      <c r="A43" s="19" t="s">
        <v>123</v>
      </c>
      <c r="B43" s="20" t="s">
        <v>194</v>
      </c>
      <c r="C43" s="5" t="s">
        <v>16</v>
      </c>
      <c r="D43" s="6" t="s">
        <v>125</v>
      </c>
      <c r="E43" s="17" t="s">
        <v>81</v>
      </c>
      <c r="F43" s="8" t="s">
        <v>19</v>
      </c>
      <c r="G43" s="14" t="s">
        <v>30</v>
      </c>
      <c r="H43" s="10">
        <v>1</v>
      </c>
      <c r="I43" s="11">
        <v>0</v>
      </c>
      <c r="J43" s="10">
        <v>0</v>
      </c>
      <c r="K43" s="11">
        <v>0</v>
      </c>
      <c r="L43" s="12">
        <f t="shared" si="0"/>
        <v>1</v>
      </c>
      <c r="M43" s="13" t="s">
        <v>195</v>
      </c>
      <c r="N43" s="13" t="s">
        <v>196</v>
      </c>
      <c r="O43" s="33"/>
      <c r="P43" t="s">
        <v>368</v>
      </c>
    </row>
    <row r="44" spans="1:16" x14ac:dyDescent="0.25">
      <c r="A44" s="19" t="s">
        <v>123</v>
      </c>
      <c r="B44" s="20" t="s">
        <v>197</v>
      </c>
      <c r="C44" s="5" t="s">
        <v>16</v>
      </c>
      <c r="D44" s="6" t="s">
        <v>125</v>
      </c>
      <c r="E44" s="17" t="s">
        <v>198</v>
      </c>
      <c r="F44" s="8" t="s">
        <v>19</v>
      </c>
      <c r="G44" s="14" t="s">
        <v>30</v>
      </c>
      <c r="H44" s="10">
        <v>1</v>
      </c>
      <c r="I44" s="11">
        <v>0</v>
      </c>
      <c r="J44" s="10">
        <v>0</v>
      </c>
      <c r="K44" s="11">
        <v>0</v>
      </c>
      <c r="L44" s="12">
        <f>K44+J44+I44+H44</f>
        <v>1</v>
      </c>
      <c r="M44" s="13" t="s">
        <v>199</v>
      </c>
      <c r="N44" s="13" t="s">
        <v>200</v>
      </c>
      <c r="O44" s="33"/>
      <c r="P44" t="s">
        <v>368</v>
      </c>
    </row>
    <row r="45" spans="1:16" x14ac:dyDescent="0.25">
      <c r="A45" s="19" t="s">
        <v>123</v>
      </c>
      <c r="B45" s="20" t="s">
        <v>201</v>
      </c>
      <c r="C45" s="5" t="s">
        <v>16</v>
      </c>
      <c r="D45" s="6" t="s">
        <v>125</v>
      </c>
      <c r="E45" s="17" t="s">
        <v>202</v>
      </c>
      <c r="F45" s="6" t="s">
        <v>25</v>
      </c>
      <c r="G45" s="14" t="s">
        <v>30</v>
      </c>
      <c r="H45" s="10">
        <v>1</v>
      </c>
      <c r="I45" s="11">
        <v>0</v>
      </c>
      <c r="J45" s="10">
        <v>0</v>
      </c>
      <c r="K45" s="11">
        <v>0</v>
      </c>
      <c r="L45" s="12">
        <f t="shared" si="0"/>
        <v>1</v>
      </c>
      <c r="M45" s="13" t="s">
        <v>203</v>
      </c>
      <c r="N45" s="13" t="s">
        <v>204</v>
      </c>
      <c r="O45" s="33"/>
    </row>
    <row r="46" spans="1:16" x14ac:dyDescent="0.25">
      <c r="A46" s="19" t="s">
        <v>123</v>
      </c>
      <c r="B46" s="20" t="s">
        <v>205</v>
      </c>
      <c r="C46" s="5" t="s">
        <v>16</v>
      </c>
      <c r="D46" s="6" t="s">
        <v>125</v>
      </c>
      <c r="E46" s="17" t="s">
        <v>206</v>
      </c>
      <c r="F46" s="8" t="s">
        <v>19</v>
      </c>
      <c r="G46" s="14" t="s">
        <v>30</v>
      </c>
      <c r="H46" s="10">
        <v>1</v>
      </c>
      <c r="I46" s="11">
        <v>0</v>
      </c>
      <c r="J46" s="10">
        <v>0</v>
      </c>
      <c r="K46" s="11">
        <v>0</v>
      </c>
      <c r="L46" s="12">
        <f t="shared" si="0"/>
        <v>1</v>
      </c>
      <c r="M46" s="13" t="s">
        <v>207</v>
      </c>
      <c r="N46" s="13" t="s">
        <v>208</v>
      </c>
      <c r="O46" s="33"/>
    </row>
    <row r="47" spans="1:16" x14ac:dyDescent="0.25">
      <c r="A47" s="19" t="s">
        <v>123</v>
      </c>
      <c r="B47" s="20" t="s">
        <v>209</v>
      </c>
      <c r="C47" s="5" t="s">
        <v>16</v>
      </c>
      <c r="D47" s="6" t="s">
        <v>125</v>
      </c>
      <c r="E47" s="17" t="s">
        <v>210</v>
      </c>
      <c r="F47" s="8" t="s">
        <v>19</v>
      </c>
      <c r="G47" s="14" t="s">
        <v>30</v>
      </c>
      <c r="H47" s="10">
        <v>1</v>
      </c>
      <c r="I47" s="11">
        <v>0</v>
      </c>
      <c r="J47" s="10">
        <v>0</v>
      </c>
      <c r="K47" s="11">
        <v>0</v>
      </c>
      <c r="L47" s="12">
        <f t="shared" si="0"/>
        <v>1</v>
      </c>
      <c r="M47" s="13" t="s">
        <v>211</v>
      </c>
      <c r="N47" s="13" t="s">
        <v>212</v>
      </c>
      <c r="O47" s="33"/>
    </row>
    <row r="48" spans="1:16" ht="15.75" thickBot="1" x14ac:dyDescent="0.3">
      <c r="A48" s="19" t="s">
        <v>123</v>
      </c>
      <c r="B48" s="20" t="s">
        <v>213</v>
      </c>
      <c r="C48" s="5" t="s">
        <v>16</v>
      </c>
      <c r="D48" s="6" t="s">
        <v>125</v>
      </c>
      <c r="E48" s="17" t="s">
        <v>214</v>
      </c>
      <c r="F48" s="8" t="s">
        <v>19</v>
      </c>
      <c r="G48" s="14" t="s">
        <v>30</v>
      </c>
      <c r="H48" s="10">
        <v>1</v>
      </c>
      <c r="I48" s="11">
        <v>0</v>
      </c>
      <c r="J48" s="10">
        <v>0</v>
      </c>
      <c r="K48" s="11">
        <v>0</v>
      </c>
      <c r="L48" s="12">
        <f t="shared" si="0"/>
        <v>1</v>
      </c>
      <c r="M48" s="13" t="s">
        <v>215</v>
      </c>
      <c r="N48" s="13" t="s">
        <v>216</v>
      </c>
      <c r="O48" s="33"/>
    </row>
    <row r="49" spans="1:16" ht="15.75" thickBot="1" x14ac:dyDescent="0.3">
      <c r="A49" s="19" t="s">
        <v>123</v>
      </c>
      <c r="B49" s="20" t="s">
        <v>217</v>
      </c>
      <c r="C49" s="5" t="s">
        <v>16</v>
      </c>
      <c r="D49" s="6" t="s">
        <v>125</v>
      </c>
      <c r="E49" s="17" t="s">
        <v>218</v>
      </c>
      <c r="F49" s="16" t="s">
        <v>19</v>
      </c>
      <c r="G49" s="14" t="s">
        <v>30</v>
      </c>
      <c r="H49" s="10">
        <v>1</v>
      </c>
      <c r="I49" s="11">
        <v>0</v>
      </c>
      <c r="J49" s="10">
        <v>0</v>
      </c>
      <c r="K49" s="11">
        <v>0</v>
      </c>
      <c r="L49" s="12">
        <f t="shared" si="0"/>
        <v>1</v>
      </c>
      <c r="M49" s="39" t="s">
        <v>357</v>
      </c>
      <c r="N49" s="40" t="s">
        <v>358</v>
      </c>
      <c r="O49" s="25"/>
      <c r="P49" t="s">
        <v>370</v>
      </c>
    </row>
    <row r="50" spans="1:16" ht="18.75" customHeight="1" x14ac:dyDescent="0.25">
      <c r="A50" s="4" t="s">
        <v>219</v>
      </c>
      <c r="B50" s="21" t="s">
        <v>220</v>
      </c>
      <c r="C50" s="5" t="s">
        <v>16</v>
      </c>
      <c r="D50" s="19" t="s">
        <v>221</v>
      </c>
      <c r="E50" s="17" t="s">
        <v>222</v>
      </c>
      <c r="F50" s="8" t="s">
        <v>19</v>
      </c>
      <c r="G50" s="14" t="s">
        <v>30</v>
      </c>
      <c r="H50" s="10">
        <v>1</v>
      </c>
      <c r="I50" s="11">
        <v>0</v>
      </c>
      <c r="J50" s="10">
        <v>0</v>
      </c>
      <c r="K50" s="11">
        <v>0</v>
      </c>
      <c r="L50" s="22">
        <f t="shared" ref="L50:L62" si="2">H50+I50+J50+K50</f>
        <v>1</v>
      </c>
      <c r="M50" s="13" t="s">
        <v>223</v>
      </c>
      <c r="N50" s="13" t="s">
        <v>224</v>
      </c>
      <c r="O50" s="34" t="s">
        <v>352</v>
      </c>
      <c r="P50" t="s">
        <v>368</v>
      </c>
    </row>
    <row r="51" spans="1:16" x14ac:dyDescent="0.25">
      <c r="A51" s="4" t="s">
        <v>219</v>
      </c>
      <c r="B51" s="21" t="s">
        <v>225</v>
      </c>
      <c r="C51" s="5" t="s">
        <v>16</v>
      </c>
      <c r="D51" s="19" t="s">
        <v>221</v>
      </c>
      <c r="E51" s="17" t="s">
        <v>226</v>
      </c>
      <c r="F51" s="8" t="s">
        <v>19</v>
      </c>
      <c r="G51" s="14" t="s">
        <v>30</v>
      </c>
      <c r="H51" s="10">
        <v>1</v>
      </c>
      <c r="I51" s="11">
        <v>0</v>
      </c>
      <c r="J51" s="10">
        <v>0</v>
      </c>
      <c r="K51" s="11">
        <v>0</v>
      </c>
      <c r="L51" s="22">
        <f t="shared" si="2"/>
        <v>1</v>
      </c>
      <c r="M51" s="13" t="s">
        <v>227</v>
      </c>
      <c r="N51" s="13" t="s">
        <v>228</v>
      </c>
      <c r="O51" s="34"/>
      <c r="P51" t="s">
        <v>368</v>
      </c>
    </row>
    <row r="52" spans="1:16" x14ac:dyDescent="0.25">
      <c r="A52" s="4" t="s">
        <v>219</v>
      </c>
      <c r="B52" s="21" t="s">
        <v>229</v>
      </c>
      <c r="C52" s="5" t="s">
        <v>16</v>
      </c>
      <c r="D52" s="19" t="s">
        <v>221</v>
      </c>
      <c r="E52" s="17" t="s">
        <v>230</v>
      </c>
      <c r="F52" s="8" t="s">
        <v>19</v>
      </c>
      <c r="G52" s="14" t="s">
        <v>30</v>
      </c>
      <c r="H52" s="10">
        <v>1</v>
      </c>
      <c r="I52" s="11">
        <v>0</v>
      </c>
      <c r="J52" s="10">
        <v>0</v>
      </c>
      <c r="K52" s="11">
        <v>0</v>
      </c>
      <c r="L52" s="22">
        <f t="shared" si="2"/>
        <v>1</v>
      </c>
      <c r="M52" s="13" t="s">
        <v>231</v>
      </c>
      <c r="N52" s="13" t="s">
        <v>232</v>
      </c>
      <c r="O52" s="34"/>
    </row>
    <row r="53" spans="1:16" x14ac:dyDescent="0.25">
      <c r="A53" s="4" t="s">
        <v>219</v>
      </c>
      <c r="B53" s="21" t="s">
        <v>233</v>
      </c>
      <c r="C53" s="5" t="s">
        <v>16</v>
      </c>
      <c r="D53" s="19" t="s">
        <v>221</v>
      </c>
      <c r="E53" s="17" t="s">
        <v>234</v>
      </c>
      <c r="F53" s="8" t="s">
        <v>19</v>
      </c>
      <c r="G53" s="14" t="s">
        <v>30</v>
      </c>
      <c r="H53" s="10">
        <v>1</v>
      </c>
      <c r="I53" s="11">
        <v>0</v>
      </c>
      <c r="J53" s="10">
        <v>0</v>
      </c>
      <c r="K53" s="11">
        <v>0</v>
      </c>
      <c r="L53" s="22">
        <f t="shared" si="2"/>
        <v>1</v>
      </c>
      <c r="M53" s="13" t="s">
        <v>235</v>
      </c>
      <c r="N53" s="13" t="s">
        <v>236</v>
      </c>
      <c r="O53" s="34"/>
      <c r="P53" t="s">
        <v>366</v>
      </c>
    </row>
    <row r="54" spans="1:16" x14ac:dyDescent="0.25">
      <c r="A54" s="4" t="s">
        <v>219</v>
      </c>
      <c r="B54" s="21" t="s">
        <v>237</v>
      </c>
      <c r="C54" s="5" t="s">
        <v>16</v>
      </c>
      <c r="D54" s="19" t="s">
        <v>221</v>
      </c>
      <c r="E54" s="17" t="s">
        <v>95</v>
      </c>
      <c r="F54" s="8" t="s">
        <v>19</v>
      </c>
      <c r="G54" s="14" t="s">
        <v>30</v>
      </c>
      <c r="H54" s="10">
        <v>1</v>
      </c>
      <c r="I54" s="11">
        <v>0</v>
      </c>
      <c r="J54" s="10">
        <v>0</v>
      </c>
      <c r="K54" s="11">
        <v>0</v>
      </c>
      <c r="L54" s="22">
        <f t="shared" si="2"/>
        <v>1</v>
      </c>
      <c r="M54" s="13" t="s">
        <v>238</v>
      </c>
      <c r="N54" s="13" t="s">
        <v>239</v>
      </c>
      <c r="O54" s="34"/>
    </row>
    <row r="55" spans="1:16" x14ac:dyDescent="0.25">
      <c r="A55" s="4" t="s">
        <v>219</v>
      </c>
      <c r="B55" s="21" t="s">
        <v>240</v>
      </c>
      <c r="C55" s="5" t="s">
        <v>16</v>
      </c>
      <c r="D55" s="19" t="s">
        <v>221</v>
      </c>
      <c r="E55" s="17" t="s">
        <v>241</v>
      </c>
      <c r="F55" s="8" t="s">
        <v>19</v>
      </c>
      <c r="G55" s="14" t="s">
        <v>30</v>
      </c>
      <c r="H55" s="10">
        <v>1</v>
      </c>
      <c r="I55" s="11">
        <v>0</v>
      </c>
      <c r="J55" s="10">
        <v>0</v>
      </c>
      <c r="K55" s="11">
        <v>0</v>
      </c>
      <c r="L55" s="22">
        <f t="shared" si="2"/>
        <v>1</v>
      </c>
      <c r="M55" s="13" t="s">
        <v>242</v>
      </c>
      <c r="N55" s="13" t="s">
        <v>243</v>
      </c>
      <c r="O55" s="34"/>
    </row>
    <row r="56" spans="1:16" x14ac:dyDescent="0.25">
      <c r="A56" s="4" t="s">
        <v>219</v>
      </c>
      <c r="B56" s="21" t="s">
        <v>244</v>
      </c>
      <c r="C56" s="5" t="s">
        <v>16</v>
      </c>
      <c r="D56" s="19" t="s">
        <v>221</v>
      </c>
      <c r="E56" s="17" t="s">
        <v>245</v>
      </c>
      <c r="F56" s="8" t="s">
        <v>183</v>
      </c>
      <c r="G56" s="14" t="s">
        <v>30</v>
      </c>
      <c r="H56" s="10">
        <v>1</v>
      </c>
      <c r="I56" s="11">
        <v>0</v>
      </c>
      <c r="J56" s="10">
        <v>0</v>
      </c>
      <c r="K56" s="11">
        <v>0</v>
      </c>
      <c r="L56" s="22">
        <f t="shared" si="2"/>
        <v>1</v>
      </c>
      <c r="M56" s="13" t="s">
        <v>246</v>
      </c>
      <c r="N56" s="13" t="s">
        <v>247</v>
      </c>
      <c r="O56" s="34"/>
    </row>
    <row r="57" spans="1:16" x14ac:dyDescent="0.25">
      <c r="A57" s="4" t="s">
        <v>219</v>
      </c>
      <c r="B57" s="21" t="s">
        <v>248</v>
      </c>
      <c r="C57" s="5" t="s">
        <v>16</v>
      </c>
      <c r="D57" s="19" t="s">
        <v>221</v>
      </c>
      <c r="E57" s="17" t="s">
        <v>249</v>
      </c>
      <c r="F57" s="8" t="s">
        <v>19</v>
      </c>
      <c r="G57" s="14" t="s">
        <v>30</v>
      </c>
      <c r="H57" s="10">
        <v>1</v>
      </c>
      <c r="I57" s="11">
        <v>0</v>
      </c>
      <c r="J57" s="10">
        <v>0</v>
      </c>
      <c r="K57" s="11">
        <v>0</v>
      </c>
      <c r="L57" s="22">
        <f t="shared" si="2"/>
        <v>1</v>
      </c>
      <c r="M57" s="13" t="s">
        <v>250</v>
      </c>
      <c r="N57" s="13" t="s">
        <v>251</v>
      </c>
      <c r="O57" s="34"/>
    </row>
    <row r="58" spans="1:16" x14ac:dyDescent="0.25">
      <c r="A58" s="4" t="s">
        <v>219</v>
      </c>
      <c r="B58" s="21" t="s">
        <v>252</v>
      </c>
      <c r="C58" s="5" t="s">
        <v>16</v>
      </c>
      <c r="D58" s="19" t="s">
        <v>221</v>
      </c>
      <c r="E58" s="17" t="s">
        <v>253</v>
      </c>
      <c r="F58" s="6" t="s">
        <v>25</v>
      </c>
      <c r="G58" s="14" t="s">
        <v>30</v>
      </c>
      <c r="H58" s="10">
        <v>1</v>
      </c>
      <c r="I58" s="11">
        <v>0</v>
      </c>
      <c r="J58" s="10">
        <v>0</v>
      </c>
      <c r="K58" s="11">
        <v>0</v>
      </c>
      <c r="L58" s="22">
        <f t="shared" si="2"/>
        <v>1</v>
      </c>
      <c r="M58" s="13" t="s">
        <v>254</v>
      </c>
      <c r="N58" s="13" t="s">
        <v>255</v>
      </c>
      <c r="O58" s="34"/>
      <c r="P58" t="s">
        <v>371</v>
      </c>
    </row>
    <row r="59" spans="1:16" x14ac:dyDescent="0.25">
      <c r="A59" s="4" t="s">
        <v>219</v>
      </c>
      <c r="B59" s="21" t="s">
        <v>256</v>
      </c>
      <c r="C59" s="5" t="s">
        <v>16</v>
      </c>
      <c r="D59" s="19" t="s">
        <v>221</v>
      </c>
      <c r="E59" s="17" t="s">
        <v>257</v>
      </c>
      <c r="F59" s="8" t="s">
        <v>19</v>
      </c>
      <c r="G59" s="14" t="s">
        <v>30</v>
      </c>
      <c r="H59" s="10">
        <v>1</v>
      </c>
      <c r="I59" s="11">
        <v>0</v>
      </c>
      <c r="J59" s="10">
        <v>0</v>
      </c>
      <c r="K59" s="11">
        <v>0</v>
      </c>
      <c r="L59" s="22">
        <f>H59+I59+J59+K59</f>
        <v>1</v>
      </c>
      <c r="M59" s="13" t="s">
        <v>258</v>
      </c>
      <c r="N59" s="13" t="s">
        <v>259</v>
      </c>
      <c r="O59" s="35" t="s">
        <v>351</v>
      </c>
    </row>
    <row r="60" spans="1:16" x14ac:dyDescent="0.25">
      <c r="A60" s="4" t="s">
        <v>219</v>
      </c>
      <c r="B60" s="21" t="s">
        <v>260</v>
      </c>
      <c r="C60" s="5" t="s">
        <v>16</v>
      </c>
      <c r="D60" s="19" t="s">
        <v>221</v>
      </c>
      <c r="E60" s="17" t="s">
        <v>261</v>
      </c>
      <c r="F60" s="8" t="s">
        <v>19</v>
      </c>
      <c r="G60" s="14" t="s">
        <v>30</v>
      </c>
      <c r="H60" s="10">
        <v>1</v>
      </c>
      <c r="I60" s="11">
        <v>0</v>
      </c>
      <c r="J60" s="10">
        <v>0</v>
      </c>
      <c r="K60" s="11">
        <v>0</v>
      </c>
      <c r="L60" s="22">
        <f t="shared" si="2"/>
        <v>1</v>
      </c>
      <c r="M60" s="13" t="s">
        <v>262</v>
      </c>
      <c r="N60" s="13" t="s">
        <v>263</v>
      </c>
      <c r="O60" s="36"/>
    </row>
    <row r="61" spans="1:16" x14ac:dyDescent="0.25">
      <c r="A61" s="4" t="s">
        <v>219</v>
      </c>
      <c r="B61" s="21" t="s">
        <v>264</v>
      </c>
      <c r="C61" s="5" t="s">
        <v>16</v>
      </c>
      <c r="D61" s="19" t="s">
        <v>221</v>
      </c>
      <c r="E61" s="7" t="s">
        <v>265</v>
      </c>
      <c r="F61" s="8" t="s">
        <v>19</v>
      </c>
      <c r="G61" s="14" t="s">
        <v>30</v>
      </c>
      <c r="H61" s="10">
        <v>1</v>
      </c>
      <c r="I61" s="11">
        <v>0</v>
      </c>
      <c r="J61" s="10">
        <v>0</v>
      </c>
      <c r="K61" s="11">
        <v>0</v>
      </c>
      <c r="L61" s="22">
        <f t="shared" si="2"/>
        <v>1</v>
      </c>
      <c r="M61" s="13" t="s">
        <v>266</v>
      </c>
      <c r="N61" s="13" t="s">
        <v>267</v>
      </c>
      <c r="O61" s="36"/>
    </row>
    <row r="62" spans="1:16" x14ac:dyDescent="0.25">
      <c r="A62" s="4" t="s">
        <v>219</v>
      </c>
      <c r="B62" s="21" t="s">
        <v>268</v>
      </c>
      <c r="C62" s="5" t="s">
        <v>16</v>
      </c>
      <c r="D62" s="19" t="s">
        <v>221</v>
      </c>
      <c r="E62" s="7" t="s">
        <v>269</v>
      </c>
      <c r="F62" s="8" t="s">
        <v>19</v>
      </c>
      <c r="G62" s="14" t="s">
        <v>30</v>
      </c>
      <c r="H62" s="10">
        <v>1</v>
      </c>
      <c r="I62" s="11">
        <v>0</v>
      </c>
      <c r="J62" s="10">
        <v>0</v>
      </c>
      <c r="K62" s="11">
        <v>0</v>
      </c>
      <c r="L62" s="22">
        <f t="shared" si="2"/>
        <v>1</v>
      </c>
      <c r="M62" s="13" t="s">
        <v>270</v>
      </c>
      <c r="N62" s="13" t="s">
        <v>271</v>
      </c>
      <c r="O62" s="36"/>
      <c r="P62" t="s">
        <v>368</v>
      </c>
    </row>
    <row r="63" spans="1:16" x14ac:dyDescent="0.25">
      <c r="A63" s="4" t="s">
        <v>219</v>
      </c>
      <c r="B63" s="21" t="s">
        <v>272</v>
      </c>
      <c r="C63" s="5" t="s">
        <v>16</v>
      </c>
      <c r="D63" s="19" t="s">
        <v>221</v>
      </c>
      <c r="E63" s="7" t="s">
        <v>182</v>
      </c>
      <c r="F63" s="8" t="s">
        <v>19</v>
      </c>
      <c r="G63" s="14" t="s">
        <v>30</v>
      </c>
      <c r="H63" s="10">
        <v>1</v>
      </c>
      <c r="I63" s="11">
        <v>0</v>
      </c>
      <c r="J63" s="10">
        <v>0</v>
      </c>
      <c r="K63" s="11">
        <v>0</v>
      </c>
      <c r="L63" s="22">
        <f t="shared" ref="L63:L70" si="3">H63+I63+J63+K63</f>
        <v>1</v>
      </c>
      <c r="M63" s="13" t="s">
        <v>273</v>
      </c>
      <c r="N63" s="13" t="s">
        <v>274</v>
      </c>
      <c r="O63" s="36"/>
    </row>
    <row r="64" spans="1:16" x14ac:dyDescent="0.25">
      <c r="A64" s="4" t="s">
        <v>219</v>
      </c>
      <c r="B64" s="21" t="s">
        <v>275</v>
      </c>
      <c r="C64" s="5" t="s">
        <v>16</v>
      </c>
      <c r="D64" s="19" t="s">
        <v>221</v>
      </c>
      <c r="E64" s="7" t="s">
        <v>276</v>
      </c>
      <c r="F64" s="8" t="s">
        <v>19</v>
      </c>
      <c r="G64" s="14" t="s">
        <v>30</v>
      </c>
      <c r="H64" s="10">
        <v>1</v>
      </c>
      <c r="I64" s="11">
        <v>0</v>
      </c>
      <c r="J64" s="10">
        <v>0</v>
      </c>
      <c r="K64" s="11">
        <v>0</v>
      </c>
      <c r="L64" s="22">
        <f t="shared" si="3"/>
        <v>1</v>
      </c>
      <c r="M64" s="13" t="s">
        <v>277</v>
      </c>
      <c r="N64" s="13" t="s">
        <v>278</v>
      </c>
      <c r="O64" s="36"/>
    </row>
    <row r="65" spans="1:16" x14ac:dyDescent="0.25">
      <c r="A65" s="4" t="s">
        <v>219</v>
      </c>
      <c r="B65" s="21" t="s">
        <v>279</v>
      </c>
      <c r="C65" s="5" t="s">
        <v>16</v>
      </c>
      <c r="D65" s="19" t="s">
        <v>221</v>
      </c>
      <c r="E65" s="7" t="s">
        <v>56</v>
      </c>
      <c r="F65" s="15" t="s">
        <v>43</v>
      </c>
      <c r="G65" s="14" t="s">
        <v>30</v>
      </c>
      <c r="H65" s="10">
        <v>1</v>
      </c>
      <c r="I65" s="11">
        <v>0</v>
      </c>
      <c r="J65" s="10">
        <v>0</v>
      </c>
      <c r="K65" s="11">
        <v>0</v>
      </c>
      <c r="L65" s="22">
        <f t="shared" si="3"/>
        <v>1</v>
      </c>
      <c r="M65" s="13" t="s">
        <v>280</v>
      </c>
      <c r="N65" s="13" t="s">
        <v>281</v>
      </c>
      <c r="O65" s="37" t="s">
        <v>353</v>
      </c>
    </row>
    <row r="66" spans="1:16" x14ac:dyDescent="0.25">
      <c r="A66" s="4" t="s">
        <v>219</v>
      </c>
      <c r="B66" s="21" t="s">
        <v>282</v>
      </c>
      <c r="C66" s="5" t="s">
        <v>16</v>
      </c>
      <c r="D66" s="19" t="s">
        <v>221</v>
      </c>
      <c r="E66" s="7" t="s">
        <v>283</v>
      </c>
      <c r="F66" s="8" t="s">
        <v>19</v>
      </c>
      <c r="G66" s="14" t="s">
        <v>30</v>
      </c>
      <c r="H66" s="10">
        <v>1</v>
      </c>
      <c r="I66" s="11">
        <v>0</v>
      </c>
      <c r="J66" s="10">
        <v>0</v>
      </c>
      <c r="K66" s="11">
        <v>0</v>
      </c>
      <c r="L66" s="22">
        <f t="shared" si="3"/>
        <v>1</v>
      </c>
      <c r="M66" s="13" t="s">
        <v>284</v>
      </c>
      <c r="N66" s="13" t="s">
        <v>285</v>
      </c>
      <c r="O66" s="38"/>
      <c r="P66" t="s">
        <v>366</v>
      </c>
    </row>
    <row r="67" spans="1:16" x14ac:dyDescent="0.25">
      <c r="A67" s="4" t="s">
        <v>219</v>
      </c>
      <c r="B67" s="21" t="s">
        <v>286</v>
      </c>
      <c r="C67" s="5" t="s">
        <v>16</v>
      </c>
      <c r="D67" s="19" t="s">
        <v>221</v>
      </c>
      <c r="E67" s="7" t="s">
        <v>287</v>
      </c>
      <c r="F67" s="8" t="s">
        <v>19</v>
      </c>
      <c r="G67" s="14" t="s">
        <v>30</v>
      </c>
      <c r="H67" s="10">
        <v>1</v>
      </c>
      <c r="I67" s="11">
        <v>0</v>
      </c>
      <c r="J67" s="10">
        <v>0</v>
      </c>
      <c r="K67" s="11">
        <v>0</v>
      </c>
      <c r="L67" s="22">
        <f t="shared" si="3"/>
        <v>1</v>
      </c>
      <c r="M67" s="13" t="s">
        <v>288</v>
      </c>
      <c r="N67" s="13" t="s">
        <v>289</v>
      </c>
      <c r="O67" s="38"/>
    </row>
    <row r="68" spans="1:16" x14ac:dyDescent="0.25">
      <c r="A68" s="4" t="s">
        <v>219</v>
      </c>
      <c r="B68" s="21" t="s">
        <v>290</v>
      </c>
      <c r="C68" s="5" t="s">
        <v>16</v>
      </c>
      <c r="D68" s="19" t="s">
        <v>221</v>
      </c>
      <c r="E68" s="7" t="s">
        <v>291</v>
      </c>
      <c r="F68" s="8" t="s">
        <v>19</v>
      </c>
      <c r="G68" s="14" t="s">
        <v>30</v>
      </c>
      <c r="H68" s="10">
        <v>1</v>
      </c>
      <c r="I68" s="11">
        <v>0</v>
      </c>
      <c r="J68" s="10">
        <v>0</v>
      </c>
      <c r="K68" s="11">
        <v>0</v>
      </c>
      <c r="L68" s="22">
        <f t="shared" si="3"/>
        <v>1</v>
      </c>
      <c r="M68" s="13" t="s">
        <v>292</v>
      </c>
      <c r="N68" s="13" t="s">
        <v>293</v>
      </c>
      <c r="O68" s="38"/>
    </row>
    <row r="69" spans="1:16" x14ac:dyDescent="0.25">
      <c r="A69" s="4" t="s">
        <v>219</v>
      </c>
      <c r="B69" s="21" t="s">
        <v>294</v>
      </c>
      <c r="C69" s="5" t="s">
        <v>16</v>
      </c>
      <c r="D69" s="19" t="s">
        <v>221</v>
      </c>
      <c r="E69" s="7" t="s">
        <v>295</v>
      </c>
      <c r="F69" s="15" t="s">
        <v>43</v>
      </c>
      <c r="G69" s="14" t="s">
        <v>30</v>
      </c>
      <c r="H69" s="10">
        <v>1</v>
      </c>
      <c r="I69" s="11">
        <v>0</v>
      </c>
      <c r="J69" s="10">
        <v>0</v>
      </c>
      <c r="K69" s="11">
        <v>0</v>
      </c>
      <c r="L69" s="22">
        <f t="shared" si="3"/>
        <v>1</v>
      </c>
      <c r="M69" s="13" t="s">
        <v>296</v>
      </c>
      <c r="N69" s="13" t="s">
        <v>297</v>
      </c>
      <c r="O69" s="38"/>
    </row>
    <row r="70" spans="1:16" x14ac:dyDescent="0.25">
      <c r="A70" s="4" t="s">
        <v>219</v>
      </c>
      <c r="B70" s="21" t="s">
        <v>298</v>
      </c>
      <c r="C70" s="5" t="s">
        <v>16</v>
      </c>
      <c r="D70" s="19" t="s">
        <v>221</v>
      </c>
      <c r="E70" s="7" t="s">
        <v>299</v>
      </c>
      <c r="F70" s="8" t="s">
        <v>19</v>
      </c>
      <c r="G70" s="14" t="s">
        <v>30</v>
      </c>
      <c r="H70" s="10">
        <v>1</v>
      </c>
      <c r="I70" s="11">
        <v>0</v>
      </c>
      <c r="J70" s="10">
        <v>0</v>
      </c>
      <c r="K70" s="11">
        <v>0</v>
      </c>
      <c r="L70" s="22">
        <f t="shared" si="3"/>
        <v>1</v>
      </c>
      <c r="M70" s="13" t="s">
        <v>300</v>
      </c>
      <c r="N70" s="13" t="s">
        <v>301</v>
      </c>
      <c r="O70" s="38"/>
    </row>
    <row r="71" spans="1:16" x14ac:dyDescent="0.25">
      <c r="A71" s="21" t="s">
        <v>302</v>
      </c>
      <c r="B71" s="23" t="s">
        <v>303</v>
      </c>
      <c r="C71" s="5" t="s">
        <v>304</v>
      </c>
      <c r="D71" s="6" t="s">
        <v>305</v>
      </c>
      <c r="E71" s="17" t="s">
        <v>214</v>
      </c>
      <c r="F71" s="6" t="s">
        <v>25</v>
      </c>
      <c r="G71" s="8" t="s">
        <v>306</v>
      </c>
      <c r="H71" s="10">
        <v>1</v>
      </c>
      <c r="I71" s="11">
        <v>0</v>
      </c>
      <c r="J71" s="10">
        <v>0</v>
      </c>
      <c r="K71" s="11">
        <v>0</v>
      </c>
      <c r="L71" s="22">
        <f t="shared" ref="L71:L90" si="4">H71+I71+J71+K71</f>
        <v>1</v>
      </c>
      <c r="M71" s="13" t="s">
        <v>307</v>
      </c>
      <c r="N71" s="13" t="s">
        <v>308</v>
      </c>
      <c r="O71" s="28" t="s">
        <v>354</v>
      </c>
    </row>
    <row r="72" spans="1:16" x14ac:dyDescent="0.25">
      <c r="A72" s="21" t="s">
        <v>302</v>
      </c>
      <c r="B72" s="23" t="s">
        <v>303</v>
      </c>
      <c r="C72" s="5" t="s">
        <v>304</v>
      </c>
      <c r="D72" s="6" t="s">
        <v>305</v>
      </c>
      <c r="E72" s="17" t="s">
        <v>191</v>
      </c>
      <c r="F72" s="6" t="s">
        <v>25</v>
      </c>
      <c r="G72" s="8" t="s">
        <v>306</v>
      </c>
      <c r="H72" s="10">
        <v>1</v>
      </c>
      <c r="I72" s="11">
        <v>0</v>
      </c>
      <c r="J72" s="10">
        <v>0</v>
      </c>
      <c r="K72" s="11">
        <v>0</v>
      </c>
      <c r="L72" s="22">
        <f t="shared" si="4"/>
        <v>1</v>
      </c>
      <c r="M72" s="13" t="s">
        <v>309</v>
      </c>
      <c r="N72" s="13" t="s">
        <v>310</v>
      </c>
      <c r="O72" s="29"/>
    </row>
    <row r="73" spans="1:16" x14ac:dyDescent="0.25">
      <c r="A73" s="21" t="s">
        <v>302</v>
      </c>
      <c r="B73" s="23" t="s">
        <v>303</v>
      </c>
      <c r="C73" s="5" t="s">
        <v>304</v>
      </c>
      <c r="D73" s="6" t="s">
        <v>305</v>
      </c>
      <c r="E73" s="17" t="s">
        <v>206</v>
      </c>
      <c r="F73" s="8" t="s">
        <v>19</v>
      </c>
      <c r="G73" s="8" t="s">
        <v>306</v>
      </c>
      <c r="H73" s="10">
        <v>1</v>
      </c>
      <c r="I73" s="11">
        <v>0</v>
      </c>
      <c r="J73" s="10">
        <v>0</v>
      </c>
      <c r="K73" s="11">
        <v>0</v>
      </c>
      <c r="L73" s="22">
        <f t="shared" si="4"/>
        <v>1</v>
      </c>
      <c r="M73" s="13" t="s">
        <v>311</v>
      </c>
      <c r="N73" s="13" t="s">
        <v>312</v>
      </c>
      <c r="O73" s="29"/>
    </row>
    <row r="74" spans="1:16" x14ac:dyDescent="0.25">
      <c r="A74" s="21" t="s">
        <v>302</v>
      </c>
      <c r="B74" s="23" t="s">
        <v>303</v>
      </c>
      <c r="C74" s="5" t="s">
        <v>304</v>
      </c>
      <c r="D74" s="6" t="s">
        <v>305</v>
      </c>
      <c r="E74" s="17" t="s">
        <v>313</v>
      </c>
      <c r="F74" s="8" t="s">
        <v>19</v>
      </c>
      <c r="G74" s="8" t="s">
        <v>306</v>
      </c>
      <c r="H74" s="10">
        <v>1</v>
      </c>
      <c r="I74" s="11">
        <v>0</v>
      </c>
      <c r="J74" s="10">
        <v>0</v>
      </c>
      <c r="K74" s="11">
        <v>0</v>
      </c>
      <c r="L74" s="22">
        <f t="shared" si="4"/>
        <v>1</v>
      </c>
      <c r="M74" s="13" t="s">
        <v>314</v>
      </c>
      <c r="N74" s="13" t="s">
        <v>315</v>
      </c>
      <c r="O74" s="29"/>
    </row>
    <row r="75" spans="1:16" x14ac:dyDescent="0.25">
      <c r="A75" s="21" t="s">
        <v>302</v>
      </c>
      <c r="B75" s="23" t="s">
        <v>303</v>
      </c>
      <c r="C75" s="5" t="s">
        <v>304</v>
      </c>
      <c r="D75" s="6" t="s">
        <v>305</v>
      </c>
      <c r="E75" s="17" t="s">
        <v>234</v>
      </c>
      <c r="F75" s="6" t="s">
        <v>25</v>
      </c>
      <c r="G75" s="8" t="s">
        <v>306</v>
      </c>
      <c r="H75" s="10">
        <v>1</v>
      </c>
      <c r="I75" s="11">
        <v>0</v>
      </c>
      <c r="J75" s="10">
        <v>0</v>
      </c>
      <c r="K75" s="11">
        <v>0</v>
      </c>
      <c r="L75" s="22">
        <f t="shared" si="4"/>
        <v>1</v>
      </c>
      <c r="M75" s="13" t="s">
        <v>316</v>
      </c>
      <c r="N75" s="13" t="s">
        <v>317</v>
      </c>
      <c r="O75" s="29"/>
    </row>
    <row r="76" spans="1:16" x14ac:dyDescent="0.25">
      <c r="A76" s="21" t="s">
        <v>302</v>
      </c>
      <c r="B76" s="23" t="s">
        <v>303</v>
      </c>
      <c r="C76" s="5" t="s">
        <v>304</v>
      </c>
      <c r="D76" s="6" t="s">
        <v>305</v>
      </c>
      <c r="E76" s="17" t="s">
        <v>318</v>
      </c>
      <c r="F76" s="6" t="s">
        <v>25</v>
      </c>
      <c r="G76" s="8" t="s">
        <v>306</v>
      </c>
      <c r="H76" s="10">
        <v>1</v>
      </c>
      <c r="I76" s="11">
        <v>0</v>
      </c>
      <c r="J76" s="10">
        <v>0</v>
      </c>
      <c r="K76" s="11">
        <v>0</v>
      </c>
      <c r="L76" s="22">
        <f t="shared" si="4"/>
        <v>1</v>
      </c>
      <c r="M76" s="13" t="s">
        <v>319</v>
      </c>
      <c r="N76" s="13" t="s">
        <v>320</v>
      </c>
      <c r="O76" s="29"/>
    </row>
    <row r="77" spans="1:16" x14ac:dyDescent="0.25">
      <c r="A77" s="21" t="s">
        <v>302</v>
      </c>
      <c r="B77" s="23" t="s">
        <v>303</v>
      </c>
      <c r="C77" s="5" t="s">
        <v>304</v>
      </c>
      <c r="D77" s="6" t="s">
        <v>305</v>
      </c>
      <c r="E77" s="17" t="s">
        <v>249</v>
      </c>
      <c r="F77" s="6" t="s">
        <v>25</v>
      </c>
      <c r="G77" s="8" t="s">
        <v>306</v>
      </c>
      <c r="H77" s="10">
        <v>1</v>
      </c>
      <c r="I77" s="11">
        <v>0</v>
      </c>
      <c r="J77" s="10">
        <v>0</v>
      </c>
      <c r="K77" s="11">
        <v>0</v>
      </c>
      <c r="L77" s="22">
        <f t="shared" si="4"/>
        <v>1</v>
      </c>
      <c r="M77" s="13" t="s">
        <v>321</v>
      </c>
      <c r="N77" s="13" t="s">
        <v>322</v>
      </c>
      <c r="O77" s="29"/>
    </row>
    <row r="78" spans="1:16" x14ac:dyDescent="0.25">
      <c r="A78" s="21" t="s">
        <v>302</v>
      </c>
      <c r="B78" s="23" t="s">
        <v>303</v>
      </c>
      <c r="C78" s="5" t="s">
        <v>304</v>
      </c>
      <c r="D78" s="6" t="s">
        <v>305</v>
      </c>
      <c r="E78" s="17" t="s">
        <v>222</v>
      </c>
      <c r="F78" s="15" t="s">
        <v>43</v>
      </c>
      <c r="G78" s="8" t="s">
        <v>306</v>
      </c>
      <c r="H78" s="10">
        <v>1</v>
      </c>
      <c r="I78" s="11">
        <v>0</v>
      </c>
      <c r="J78" s="10">
        <v>0</v>
      </c>
      <c r="K78" s="11">
        <v>0</v>
      </c>
      <c r="L78" s="22">
        <f>H78+I78+J78+K78</f>
        <v>1</v>
      </c>
      <c r="M78" s="13" t="s">
        <v>323</v>
      </c>
      <c r="N78" s="13" t="s">
        <v>324</v>
      </c>
      <c r="O78" s="29"/>
    </row>
    <row r="79" spans="1:16" x14ac:dyDescent="0.25">
      <c r="A79" s="21" t="s">
        <v>302</v>
      </c>
      <c r="B79" s="23" t="s">
        <v>303</v>
      </c>
      <c r="C79" s="5" t="s">
        <v>304</v>
      </c>
      <c r="D79" s="6" t="s">
        <v>305</v>
      </c>
      <c r="E79" s="7" t="s">
        <v>126</v>
      </c>
      <c r="F79" s="15" t="s">
        <v>43</v>
      </c>
      <c r="G79" s="8" t="s">
        <v>306</v>
      </c>
      <c r="H79" s="10">
        <v>1</v>
      </c>
      <c r="I79" s="11">
        <v>0</v>
      </c>
      <c r="J79" s="10">
        <v>0</v>
      </c>
      <c r="K79" s="11">
        <v>0</v>
      </c>
      <c r="L79" s="22">
        <f t="shared" si="4"/>
        <v>1</v>
      </c>
      <c r="M79" s="13" t="s">
        <v>325</v>
      </c>
      <c r="N79" s="13" t="s">
        <v>326</v>
      </c>
      <c r="O79" s="29"/>
    </row>
    <row r="80" spans="1:16" x14ac:dyDescent="0.25">
      <c r="A80" s="21" t="s">
        <v>302</v>
      </c>
      <c r="B80" s="23" t="s">
        <v>303</v>
      </c>
      <c r="C80" s="5" t="s">
        <v>304</v>
      </c>
      <c r="D80" s="6" t="s">
        <v>305</v>
      </c>
      <c r="E80" s="7" t="s">
        <v>265</v>
      </c>
      <c r="F80" s="15" t="s">
        <v>43</v>
      </c>
      <c r="G80" s="8" t="s">
        <v>306</v>
      </c>
      <c r="H80" s="10">
        <v>1</v>
      </c>
      <c r="I80" s="11">
        <v>0</v>
      </c>
      <c r="J80" s="10">
        <v>0</v>
      </c>
      <c r="K80" s="11">
        <v>0</v>
      </c>
      <c r="L80" s="22">
        <f t="shared" si="4"/>
        <v>1</v>
      </c>
      <c r="M80" s="13" t="s">
        <v>327</v>
      </c>
      <c r="N80" s="13" t="s">
        <v>328</v>
      </c>
      <c r="O80" s="29"/>
    </row>
    <row r="81" spans="1:15" x14ac:dyDescent="0.25">
      <c r="A81" s="21" t="s">
        <v>302</v>
      </c>
      <c r="B81" s="23" t="s">
        <v>303</v>
      </c>
      <c r="C81" s="5" t="s">
        <v>304</v>
      </c>
      <c r="D81" s="6" t="s">
        <v>305</v>
      </c>
      <c r="E81" s="7" t="s">
        <v>134</v>
      </c>
      <c r="F81" s="6" t="s">
        <v>25</v>
      </c>
      <c r="G81" s="8" t="s">
        <v>306</v>
      </c>
      <c r="H81" s="10">
        <v>1</v>
      </c>
      <c r="I81" s="11">
        <v>0</v>
      </c>
      <c r="J81" s="10">
        <v>0</v>
      </c>
      <c r="K81" s="11">
        <v>0</v>
      </c>
      <c r="L81" s="22">
        <f t="shared" si="4"/>
        <v>1</v>
      </c>
      <c r="M81" s="13" t="s">
        <v>329</v>
      </c>
      <c r="N81" s="13" t="s">
        <v>330</v>
      </c>
      <c r="O81" s="30" t="s">
        <v>355</v>
      </c>
    </row>
    <row r="82" spans="1:15" x14ac:dyDescent="0.25">
      <c r="A82" s="21" t="s">
        <v>302</v>
      </c>
      <c r="B82" s="23" t="s">
        <v>303</v>
      </c>
      <c r="C82" s="5" t="s">
        <v>304</v>
      </c>
      <c r="D82" s="6" t="s">
        <v>305</v>
      </c>
      <c r="E82" s="7" t="s">
        <v>170</v>
      </c>
      <c r="F82" s="6" t="s">
        <v>25</v>
      </c>
      <c r="G82" s="8" t="s">
        <v>306</v>
      </c>
      <c r="H82" s="10">
        <v>1</v>
      </c>
      <c r="I82" s="11">
        <v>0</v>
      </c>
      <c r="J82" s="10">
        <v>0</v>
      </c>
      <c r="K82" s="11">
        <v>0</v>
      </c>
      <c r="L82" s="22">
        <f t="shared" si="4"/>
        <v>1</v>
      </c>
      <c r="M82" s="13" t="s">
        <v>331</v>
      </c>
      <c r="N82" s="13" t="s">
        <v>332</v>
      </c>
      <c r="O82" s="31"/>
    </row>
    <row r="83" spans="1:15" x14ac:dyDescent="0.25">
      <c r="A83" s="21" t="s">
        <v>302</v>
      </c>
      <c r="B83" s="23" t="s">
        <v>303</v>
      </c>
      <c r="C83" s="5" t="s">
        <v>304</v>
      </c>
      <c r="D83" s="6" t="s">
        <v>305</v>
      </c>
      <c r="E83" s="7" t="s">
        <v>299</v>
      </c>
      <c r="F83" s="6" t="s">
        <v>25</v>
      </c>
      <c r="G83" s="8" t="s">
        <v>306</v>
      </c>
      <c r="H83" s="10">
        <v>1</v>
      </c>
      <c r="I83" s="11">
        <v>0</v>
      </c>
      <c r="J83" s="10">
        <v>0</v>
      </c>
      <c r="K83" s="11">
        <v>0</v>
      </c>
      <c r="L83" s="22">
        <f t="shared" si="4"/>
        <v>1</v>
      </c>
      <c r="M83" s="13" t="s">
        <v>333</v>
      </c>
      <c r="N83" s="13" t="s">
        <v>334</v>
      </c>
      <c r="O83" s="31"/>
    </row>
    <row r="84" spans="1:15" x14ac:dyDescent="0.25">
      <c r="A84" s="21" t="s">
        <v>302</v>
      </c>
      <c r="B84" s="23" t="s">
        <v>303</v>
      </c>
      <c r="C84" s="5" t="s">
        <v>304</v>
      </c>
      <c r="D84" s="6" t="s">
        <v>305</v>
      </c>
      <c r="E84" s="7" t="s">
        <v>150</v>
      </c>
      <c r="F84" s="8" t="s">
        <v>19</v>
      </c>
      <c r="G84" s="8" t="s">
        <v>306</v>
      </c>
      <c r="H84" s="10">
        <v>1</v>
      </c>
      <c r="I84" s="11">
        <v>0</v>
      </c>
      <c r="J84" s="10">
        <v>0</v>
      </c>
      <c r="K84" s="11">
        <v>0</v>
      </c>
      <c r="L84" s="22">
        <f t="shared" si="4"/>
        <v>1</v>
      </c>
      <c r="M84" s="13" t="s">
        <v>335</v>
      </c>
      <c r="N84" s="13" t="s">
        <v>336</v>
      </c>
      <c r="O84" s="31"/>
    </row>
    <row r="85" spans="1:15" x14ac:dyDescent="0.25">
      <c r="A85" s="21" t="s">
        <v>302</v>
      </c>
      <c r="B85" s="23" t="s">
        <v>303</v>
      </c>
      <c r="C85" s="5" t="s">
        <v>304</v>
      </c>
      <c r="D85" s="6" t="s">
        <v>305</v>
      </c>
      <c r="E85" s="7" t="s">
        <v>154</v>
      </c>
      <c r="F85" s="6" t="s">
        <v>25</v>
      </c>
      <c r="G85" s="8" t="s">
        <v>306</v>
      </c>
      <c r="H85" s="10">
        <v>1</v>
      </c>
      <c r="I85" s="11">
        <v>0</v>
      </c>
      <c r="J85" s="10">
        <v>0</v>
      </c>
      <c r="K85" s="11">
        <v>0</v>
      </c>
      <c r="L85" s="22">
        <f t="shared" si="4"/>
        <v>1</v>
      </c>
      <c r="M85" s="13" t="s">
        <v>337</v>
      </c>
      <c r="N85" s="13" t="s">
        <v>338</v>
      </c>
      <c r="O85" s="31"/>
    </row>
    <row r="86" spans="1:15" x14ac:dyDescent="0.25">
      <c r="A86" s="21" t="s">
        <v>302</v>
      </c>
      <c r="B86" s="23" t="s">
        <v>303</v>
      </c>
      <c r="C86" s="5" t="s">
        <v>304</v>
      </c>
      <c r="D86" s="6" t="s">
        <v>305</v>
      </c>
      <c r="E86" s="7" t="s">
        <v>166</v>
      </c>
      <c r="F86" s="6" t="s">
        <v>25</v>
      </c>
      <c r="G86" s="8" t="s">
        <v>306</v>
      </c>
      <c r="H86" s="10">
        <v>1</v>
      </c>
      <c r="I86" s="11">
        <v>0</v>
      </c>
      <c r="J86" s="10">
        <v>0</v>
      </c>
      <c r="K86" s="11">
        <v>0</v>
      </c>
      <c r="L86" s="22">
        <f t="shared" si="4"/>
        <v>1</v>
      </c>
      <c r="M86" s="13" t="s">
        <v>339</v>
      </c>
      <c r="N86" s="13" t="s">
        <v>340</v>
      </c>
      <c r="O86" s="31"/>
    </row>
    <row r="87" spans="1:15" x14ac:dyDescent="0.25">
      <c r="A87" s="21" t="s">
        <v>302</v>
      </c>
      <c r="B87" s="23" t="s">
        <v>303</v>
      </c>
      <c r="C87" s="5" t="s">
        <v>304</v>
      </c>
      <c r="D87" s="6" t="s">
        <v>305</v>
      </c>
      <c r="E87" s="7" t="s">
        <v>174</v>
      </c>
      <c r="F87" s="6" t="s">
        <v>25</v>
      </c>
      <c r="G87" s="8" t="s">
        <v>306</v>
      </c>
      <c r="H87" s="10">
        <v>1</v>
      </c>
      <c r="I87" s="11">
        <v>0</v>
      </c>
      <c r="J87" s="10">
        <v>0</v>
      </c>
      <c r="K87" s="11">
        <v>0</v>
      </c>
      <c r="L87" s="22">
        <f t="shared" si="4"/>
        <v>1</v>
      </c>
      <c r="M87" s="13" t="s">
        <v>341</v>
      </c>
      <c r="N87" s="13" t="s">
        <v>342</v>
      </c>
      <c r="O87" s="31"/>
    </row>
    <row r="88" spans="1:15" x14ac:dyDescent="0.25">
      <c r="A88" s="21" t="s">
        <v>302</v>
      </c>
      <c r="B88" s="23" t="s">
        <v>303</v>
      </c>
      <c r="C88" s="5" t="s">
        <v>304</v>
      </c>
      <c r="D88" s="6" t="s">
        <v>305</v>
      </c>
      <c r="E88" s="7" t="s">
        <v>178</v>
      </c>
      <c r="F88" s="8" t="s">
        <v>19</v>
      </c>
      <c r="G88" s="8" t="s">
        <v>306</v>
      </c>
      <c r="H88" s="10">
        <v>1</v>
      </c>
      <c r="I88" s="11">
        <v>0</v>
      </c>
      <c r="J88" s="10">
        <v>0</v>
      </c>
      <c r="K88" s="11">
        <v>0</v>
      </c>
      <c r="L88" s="22">
        <f t="shared" si="4"/>
        <v>1</v>
      </c>
      <c r="M88" s="13" t="s">
        <v>343</v>
      </c>
      <c r="N88" s="13" t="s">
        <v>344</v>
      </c>
      <c r="O88" s="31"/>
    </row>
    <row r="89" spans="1:15" x14ac:dyDescent="0.25">
      <c r="A89" s="21" t="s">
        <v>302</v>
      </c>
      <c r="B89" s="23" t="s">
        <v>303</v>
      </c>
      <c r="C89" s="5" t="s">
        <v>304</v>
      </c>
      <c r="D89" s="6" t="s">
        <v>305</v>
      </c>
      <c r="E89" s="7" t="s">
        <v>276</v>
      </c>
      <c r="F89" s="15" t="s">
        <v>43</v>
      </c>
      <c r="G89" s="8" t="s">
        <v>306</v>
      </c>
      <c r="H89" s="10">
        <v>1</v>
      </c>
      <c r="I89" s="11">
        <v>0</v>
      </c>
      <c r="J89" s="10">
        <v>0</v>
      </c>
      <c r="K89" s="11">
        <v>0</v>
      </c>
      <c r="L89" s="22">
        <f t="shared" si="4"/>
        <v>1</v>
      </c>
      <c r="M89" s="13" t="s">
        <v>345</v>
      </c>
      <c r="N89" s="13" t="s">
        <v>346</v>
      </c>
      <c r="O89" s="31"/>
    </row>
    <row r="90" spans="1:15" x14ac:dyDescent="0.25">
      <c r="A90" s="46" t="s">
        <v>302</v>
      </c>
      <c r="B90" s="47" t="s">
        <v>303</v>
      </c>
      <c r="C90" s="48" t="s">
        <v>304</v>
      </c>
      <c r="D90" s="49" t="s">
        <v>305</v>
      </c>
      <c r="E90" s="50" t="s">
        <v>158</v>
      </c>
      <c r="F90" s="51" t="s">
        <v>43</v>
      </c>
      <c r="G90" s="52" t="s">
        <v>306</v>
      </c>
      <c r="H90" s="53">
        <v>1</v>
      </c>
      <c r="I90" s="54">
        <v>0</v>
      </c>
      <c r="J90" s="53">
        <v>0</v>
      </c>
      <c r="K90" s="54">
        <v>0</v>
      </c>
      <c r="L90" s="55">
        <f t="shared" si="4"/>
        <v>1</v>
      </c>
      <c r="M90" s="56" t="s">
        <v>347</v>
      </c>
      <c r="N90" s="56" t="s">
        <v>348</v>
      </c>
      <c r="O90" s="31"/>
    </row>
    <row r="91" spans="1:15" x14ac:dyDescent="0.25">
      <c r="A91" s="15" t="s">
        <v>373</v>
      </c>
      <c r="B91" s="15" t="s">
        <v>372</v>
      </c>
      <c r="C91" s="57" t="s">
        <v>16</v>
      </c>
      <c r="D91" s="45" t="s">
        <v>374</v>
      </c>
      <c r="E91" s="58" t="s">
        <v>377</v>
      </c>
      <c r="F91" s="59" t="s">
        <v>25</v>
      </c>
      <c r="G91" s="14" t="s">
        <v>30</v>
      </c>
      <c r="H91" s="10">
        <v>1</v>
      </c>
      <c r="I91" s="11">
        <v>0</v>
      </c>
      <c r="J91" s="10">
        <v>0</v>
      </c>
      <c r="K91" s="11">
        <v>0</v>
      </c>
      <c r="L91" s="22">
        <f t="shared" ref="L91" si="5">H91+I91+J91+K91</f>
        <v>1</v>
      </c>
      <c r="M91" s="60" t="s">
        <v>376</v>
      </c>
      <c r="N91" s="61" t="s">
        <v>375</v>
      </c>
    </row>
    <row r="92" spans="1:15" x14ac:dyDescent="0.25">
      <c r="A92" s="15" t="s">
        <v>373</v>
      </c>
      <c r="B92" s="15" t="s">
        <v>372</v>
      </c>
      <c r="C92" s="57" t="s">
        <v>16</v>
      </c>
      <c r="D92" s="45" t="s">
        <v>51</v>
      </c>
      <c r="E92" s="58" t="s">
        <v>380</v>
      </c>
      <c r="F92" s="59" t="s">
        <v>25</v>
      </c>
      <c r="G92" s="14" t="s">
        <v>20</v>
      </c>
      <c r="H92" s="10">
        <v>1</v>
      </c>
      <c r="I92" s="11">
        <v>0</v>
      </c>
      <c r="J92" s="10">
        <v>0</v>
      </c>
      <c r="K92" s="11">
        <v>0</v>
      </c>
      <c r="L92" s="22">
        <f t="shared" ref="L92" si="6">H92+I92+J92+K92</f>
        <v>1</v>
      </c>
      <c r="M92" s="62" t="s">
        <v>379</v>
      </c>
      <c r="N92" s="63" t="s">
        <v>378</v>
      </c>
    </row>
    <row r="93" spans="1:15" x14ac:dyDescent="0.25">
      <c r="A93" s="15" t="s">
        <v>373</v>
      </c>
      <c r="B93" s="15" t="s">
        <v>372</v>
      </c>
      <c r="C93" s="57" t="s">
        <v>16</v>
      </c>
      <c r="D93" s="45" t="s">
        <v>51</v>
      </c>
      <c r="E93" s="58" t="s">
        <v>383</v>
      </c>
      <c r="F93" s="8" t="s">
        <v>19</v>
      </c>
      <c r="G93" s="14" t="s">
        <v>20</v>
      </c>
      <c r="H93" s="10">
        <v>1</v>
      </c>
      <c r="I93" s="11">
        <v>0</v>
      </c>
      <c r="J93" s="10">
        <v>0</v>
      </c>
      <c r="K93" s="11">
        <v>0</v>
      </c>
      <c r="L93" s="22">
        <f t="shared" ref="L93" si="7">H93+I93+J93+K93</f>
        <v>1</v>
      </c>
      <c r="M93" s="60" t="s">
        <v>381</v>
      </c>
      <c r="N93" s="61" t="s">
        <v>382</v>
      </c>
    </row>
    <row r="94" spans="1:15" x14ac:dyDescent="0.25">
      <c r="A94" s="15" t="s">
        <v>373</v>
      </c>
      <c r="B94" s="15" t="s">
        <v>372</v>
      </c>
      <c r="C94" s="57" t="s">
        <v>16</v>
      </c>
      <c r="D94" s="45" t="s">
        <v>374</v>
      </c>
      <c r="E94" s="58" t="s">
        <v>386</v>
      </c>
      <c r="F94" s="8" t="s">
        <v>19</v>
      </c>
      <c r="G94" s="14" t="s">
        <v>30</v>
      </c>
      <c r="H94" s="10">
        <v>1</v>
      </c>
      <c r="I94" s="11">
        <v>0</v>
      </c>
      <c r="J94" s="10">
        <v>0</v>
      </c>
      <c r="K94" s="11">
        <v>0</v>
      </c>
      <c r="L94" s="22">
        <f t="shared" ref="L94" si="8">H94+I94+J94+K94</f>
        <v>1</v>
      </c>
      <c r="M94" s="62" t="s">
        <v>384</v>
      </c>
      <c r="N94" s="63" t="s">
        <v>385</v>
      </c>
    </row>
    <row r="95" spans="1:15" x14ac:dyDescent="0.25">
      <c r="A95" s="15" t="s">
        <v>373</v>
      </c>
      <c r="B95" s="15" t="s">
        <v>372</v>
      </c>
      <c r="C95" s="57" t="s">
        <v>16</v>
      </c>
      <c r="D95" s="45" t="s">
        <v>51</v>
      </c>
      <c r="E95" s="58" t="s">
        <v>389</v>
      </c>
      <c r="F95" s="59" t="s">
        <v>25</v>
      </c>
      <c r="G95" s="14" t="s">
        <v>20</v>
      </c>
      <c r="H95" s="10">
        <v>1</v>
      </c>
      <c r="I95" s="11">
        <v>0</v>
      </c>
      <c r="J95" s="10">
        <v>0</v>
      </c>
      <c r="K95" s="11">
        <v>0</v>
      </c>
      <c r="L95" s="22">
        <f t="shared" ref="L95" si="9">H95+I95+J95+K95</f>
        <v>1</v>
      </c>
      <c r="M95" s="60" t="s">
        <v>388</v>
      </c>
      <c r="N95" s="61" t="s">
        <v>387</v>
      </c>
    </row>
    <row r="96" spans="1:15" x14ac:dyDescent="0.25">
      <c r="A96" s="15" t="s">
        <v>373</v>
      </c>
      <c r="B96" s="15" t="s">
        <v>372</v>
      </c>
      <c r="C96" s="57" t="s">
        <v>16</v>
      </c>
      <c r="D96" s="45" t="s">
        <v>374</v>
      </c>
      <c r="E96" s="58" t="s">
        <v>115</v>
      </c>
      <c r="F96" s="59" t="s">
        <v>25</v>
      </c>
      <c r="G96" s="14" t="s">
        <v>30</v>
      </c>
      <c r="H96" s="10">
        <v>2</v>
      </c>
      <c r="I96" s="11">
        <v>0</v>
      </c>
      <c r="J96" s="10">
        <v>0</v>
      </c>
      <c r="K96" s="11">
        <v>0</v>
      </c>
      <c r="L96" s="22">
        <f t="shared" ref="L96:L97" si="10">H96+I96+J96+K96</f>
        <v>2</v>
      </c>
      <c r="M96" s="62" t="s">
        <v>390</v>
      </c>
      <c r="N96" s="63" t="s">
        <v>391</v>
      </c>
    </row>
    <row r="97" spans="1:16" x14ac:dyDescent="0.25">
      <c r="A97" s="15" t="s">
        <v>373</v>
      </c>
      <c r="B97" s="15" t="s">
        <v>372</v>
      </c>
      <c r="C97" s="57" t="s">
        <v>16</v>
      </c>
      <c r="D97" s="45" t="s">
        <v>374</v>
      </c>
      <c r="E97" s="58" t="s">
        <v>394</v>
      </c>
      <c r="F97" s="8" t="s">
        <v>19</v>
      </c>
      <c r="G97" s="14" t="s">
        <v>30</v>
      </c>
      <c r="H97" s="10">
        <v>1</v>
      </c>
      <c r="I97" s="11">
        <v>0</v>
      </c>
      <c r="J97" s="10">
        <v>0</v>
      </c>
      <c r="K97" s="11">
        <v>0</v>
      </c>
      <c r="L97" s="22">
        <f t="shared" si="10"/>
        <v>1</v>
      </c>
      <c r="M97" s="60" t="s">
        <v>393</v>
      </c>
      <c r="N97" s="61" t="s">
        <v>392</v>
      </c>
    </row>
    <row r="98" spans="1:16" ht="15.75" thickBot="1" x14ac:dyDescent="0.3">
      <c r="A98" s="15" t="s">
        <v>373</v>
      </c>
      <c r="B98" s="15" t="s">
        <v>372</v>
      </c>
      <c r="C98" s="57" t="s">
        <v>16</v>
      </c>
      <c r="D98" s="45" t="s">
        <v>374</v>
      </c>
      <c r="E98" s="58" t="s">
        <v>397</v>
      </c>
      <c r="F98" s="59" t="s">
        <v>25</v>
      </c>
      <c r="G98" s="14" t="s">
        <v>30</v>
      </c>
      <c r="H98" s="10">
        <v>1</v>
      </c>
      <c r="I98" s="11">
        <v>0</v>
      </c>
      <c r="J98" s="10">
        <v>0</v>
      </c>
      <c r="K98" s="11">
        <v>0</v>
      </c>
      <c r="L98" s="22">
        <f t="shared" ref="L98:L99" si="11">H98+I98+J98+K98</f>
        <v>1</v>
      </c>
      <c r="M98" s="60" t="s">
        <v>395</v>
      </c>
      <c r="N98" s="61" t="s">
        <v>396</v>
      </c>
    </row>
    <row r="99" spans="1:16" ht="15.75" thickBot="1" x14ac:dyDescent="0.3">
      <c r="A99" s="15" t="s">
        <v>373</v>
      </c>
      <c r="B99" s="15" t="s">
        <v>372</v>
      </c>
      <c r="C99" s="57" t="s">
        <v>16</v>
      </c>
      <c r="D99" s="45" t="s">
        <v>374</v>
      </c>
      <c r="E99" s="58" t="s">
        <v>400</v>
      </c>
      <c r="F99" s="8" t="s">
        <v>19</v>
      </c>
      <c r="G99" s="14" t="s">
        <v>30</v>
      </c>
      <c r="H99" s="10">
        <v>1</v>
      </c>
      <c r="I99" s="11">
        <v>0</v>
      </c>
      <c r="J99" s="10">
        <v>0</v>
      </c>
      <c r="K99" s="11">
        <v>0</v>
      </c>
      <c r="L99" s="22">
        <f t="shared" si="11"/>
        <v>1</v>
      </c>
      <c r="M99" s="42" t="s">
        <v>399</v>
      </c>
      <c r="N99" s="43" t="s">
        <v>398</v>
      </c>
      <c r="P99" t="s">
        <v>404</v>
      </c>
    </row>
    <row r="100" spans="1:16" ht="15.75" thickBot="1" x14ac:dyDescent="0.3">
      <c r="A100" s="15" t="s">
        <v>373</v>
      </c>
      <c r="B100" s="15" t="s">
        <v>372</v>
      </c>
      <c r="C100" s="57" t="s">
        <v>16</v>
      </c>
      <c r="D100" s="45" t="s">
        <v>374</v>
      </c>
      <c r="E100" s="58" t="s">
        <v>403</v>
      </c>
      <c r="F100" s="59" t="s">
        <v>25</v>
      </c>
      <c r="G100" s="14" t="s">
        <v>30</v>
      </c>
      <c r="H100" s="10">
        <v>1</v>
      </c>
      <c r="I100" s="11">
        <v>0</v>
      </c>
      <c r="J100" s="10">
        <v>0</v>
      </c>
      <c r="K100" s="11">
        <v>0</v>
      </c>
      <c r="L100" s="22">
        <f t="shared" ref="L100:L101" si="12">H100+I100+J100+K100</f>
        <v>1</v>
      </c>
      <c r="M100" s="42" t="s">
        <v>401</v>
      </c>
      <c r="N100" s="43" t="s">
        <v>402</v>
      </c>
    </row>
    <row r="101" spans="1:16" ht="15.75" thickBot="1" x14ac:dyDescent="0.3">
      <c r="A101" s="15" t="s">
        <v>373</v>
      </c>
      <c r="B101" s="15" t="s">
        <v>372</v>
      </c>
      <c r="C101" s="57" t="s">
        <v>16</v>
      </c>
      <c r="D101" s="45" t="s">
        <v>51</v>
      </c>
      <c r="E101" s="58" t="s">
        <v>407</v>
      </c>
      <c r="F101" s="59" t="s">
        <v>25</v>
      </c>
      <c r="G101" s="14" t="s">
        <v>20</v>
      </c>
      <c r="H101" s="10">
        <v>1</v>
      </c>
      <c r="I101" s="11">
        <v>0</v>
      </c>
      <c r="J101" s="10">
        <v>0</v>
      </c>
      <c r="K101" s="11">
        <v>0</v>
      </c>
      <c r="L101" s="22">
        <f t="shared" si="12"/>
        <v>1</v>
      </c>
      <c r="M101" s="42" t="s">
        <v>406</v>
      </c>
      <c r="N101" s="43" t="s">
        <v>405</v>
      </c>
    </row>
    <row r="102" spans="1:16" ht="15.75" thickBot="1" x14ac:dyDescent="0.3">
      <c r="A102" s="15" t="s">
        <v>373</v>
      </c>
      <c r="B102" s="15" t="s">
        <v>372</v>
      </c>
      <c r="C102" s="57" t="s">
        <v>16</v>
      </c>
      <c r="D102" s="45" t="s">
        <v>374</v>
      </c>
      <c r="E102" s="58" t="s">
        <v>410</v>
      </c>
      <c r="F102" s="8" t="s">
        <v>19</v>
      </c>
      <c r="G102" s="14" t="s">
        <v>30</v>
      </c>
      <c r="H102" s="10">
        <v>1</v>
      </c>
      <c r="I102" s="11">
        <v>0</v>
      </c>
      <c r="J102" s="10">
        <v>0</v>
      </c>
      <c r="K102" s="11">
        <v>0</v>
      </c>
      <c r="L102" s="22">
        <f t="shared" ref="L102" si="13">H102+I102+J102+K102</f>
        <v>1</v>
      </c>
      <c r="M102" s="42" t="s">
        <v>409</v>
      </c>
      <c r="N102" s="43" t="s">
        <v>408</v>
      </c>
    </row>
    <row r="103" spans="1:16" ht="15.75" thickBot="1" x14ac:dyDescent="0.3">
      <c r="A103" s="15" t="s">
        <v>373</v>
      </c>
      <c r="B103" s="15" t="s">
        <v>372</v>
      </c>
      <c r="C103" s="57" t="s">
        <v>16</v>
      </c>
      <c r="D103" s="45" t="s">
        <v>374</v>
      </c>
      <c r="E103" s="58" t="s">
        <v>413</v>
      </c>
      <c r="F103" s="58" t="s">
        <v>87</v>
      </c>
      <c r="G103" s="14" t="s">
        <v>30</v>
      </c>
      <c r="H103" s="10">
        <v>1</v>
      </c>
      <c r="I103" s="11">
        <v>0</v>
      </c>
      <c r="J103" s="10">
        <v>0</v>
      </c>
      <c r="K103" s="11">
        <v>0</v>
      </c>
      <c r="L103" s="22">
        <f t="shared" ref="L103:L105" si="14">H103+I103+J103+K103</f>
        <v>1</v>
      </c>
      <c r="M103" s="42" t="s">
        <v>411</v>
      </c>
      <c r="N103" s="43" t="s">
        <v>412</v>
      </c>
    </row>
    <row r="104" spans="1:16" ht="15.75" thickBot="1" x14ac:dyDescent="0.3">
      <c r="A104" s="15" t="s">
        <v>373</v>
      </c>
      <c r="B104" s="15" t="s">
        <v>372</v>
      </c>
      <c r="C104" s="57" t="s">
        <v>16</v>
      </c>
      <c r="D104" s="45" t="s">
        <v>51</v>
      </c>
      <c r="E104" s="58" t="s">
        <v>415</v>
      </c>
      <c r="F104" s="59" t="s">
        <v>25</v>
      </c>
      <c r="G104" s="14" t="s">
        <v>20</v>
      </c>
      <c r="H104" s="10">
        <v>1</v>
      </c>
      <c r="I104" s="11">
        <v>0</v>
      </c>
      <c r="J104" s="10">
        <v>0</v>
      </c>
      <c r="K104" s="11">
        <v>0</v>
      </c>
      <c r="L104" s="22">
        <f t="shared" si="14"/>
        <v>1</v>
      </c>
      <c r="M104" s="42" t="s">
        <v>26</v>
      </c>
      <c r="N104" s="43" t="s">
        <v>414</v>
      </c>
      <c r="P104" t="s">
        <v>360</v>
      </c>
    </row>
    <row r="105" spans="1:16" ht="15.75" thickBot="1" x14ac:dyDescent="0.3">
      <c r="A105" s="15" t="s">
        <v>373</v>
      </c>
      <c r="B105" s="15" t="s">
        <v>372</v>
      </c>
      <c r="C105" s="57" t="s">
        <v>16</v>
      </c>
      <c r="D105" s="45" t="s">
        <v>374</v>
      </c>
      <c r="E105" s="58" t="s">
        <v>418</v>
      </c>
      <c r="F105" s="59" t="s">
        <v>25</v>
      </c>
      <c r="G105" s="14" t="s">
        <v>30</v>
      </c>
      <c r="H105" s="10">
        <v>1</v>
      </c>
      <c r="I105" s="11">
        <v>0</v>
      </c>
      <c r="J105" s="10">
        <v>0</v>
      </c>
      <c r="K105" s="11">
        <v>0</v>
      </c>
      <c r="L105" s="22">
        <f t="shared" si="14"/>
        <v>1</v>
      </c>
      <c r="M105" s="42" t="s">
        <v>417</v>
      </c>
      <c r="N105" s="43" t="s">
        <v>416</v>
      </c>
    </row>
    <row r="106" spans="1:16" ht="15.75" thickBot="1" x14ac:dyDescent="0.3">
      <c r="A106" s="15" t="s">
        <v>373</v>
      </c>
      <c r="B106" s="15" t="s">
        <v>372</v>
      </c>
      <c r="C106" s="57" t="s">
        <v>16</v>
      </c>
      <c r="D106" s="45" t="s">
        <v>374</v>
      </c>
      <c r="E106" s="58" t="s">
        <v>421</v>
      </c>
      <c r="F106" s="8" t="s">
        <v>19</v>
      </c>
      <c r="G106" s="14" t="s">
        <v>30</v>
      </c>
      <c r="H106" s="10">
        <v>1</v>
      </c>
      <c r="I106" s="11">
        <v>0</v>
      </c>
      <c r="J106" s="10">
        <v>0</v>
      </c>
      <c r="K106" s="11">
        <v>0</v>
      </c>
      <c r="L106" s="22">
        <f t="shared" ref="L106" si="15">H106+I106+J106+K106</f>
        <v>1</v>
      </c>
      <c r="M106" s="42" t="s">
        <v>419</v>
      </c>
      <c r="N106" s="43" t="s">
        <v>420</v>
      </c>
    </row>
    <row r="107" spans="1:16" ht="15.75" thickBot="1" x14ac:dyDescent="0.3">
      <c r="A107" s="15" t="s">
        <v>373</v>
      </c>
      <c r="B107" s="15" t="s">
        <v>372</v>
      </c>
      <c r="C107" s="57" t="s">
        <v>16</v>
      </c>
      <c r="D107" s="45" t="s">
        <v>374</v>
      </c>
      <c r="E107" s="58" t="s">
        <v>424</v>
      </c>
      <c r="F107" s="8" t="s">
        <v>19</v>
      </c>
      <c r="G107" s="14" t="s">
        <v>30</v>
      </c>
      <c r="H107" s="10">
        <v>1</v>
      </c>
      <c r="I107" s="11">
        <v>0</v>
      </c>
      <c r="J107" s="10">
        <v>0</v>
      </c>
      <c r="K107" s="11">
        <v>0</v>
      </c>
      <c r="L107" s="22">
        <f t="shared" ref="L107" si="16">H107+I107+J107+K107</f>
        <v>1</v>
      </c>
      <c r="M107" s="42" t="s">
        <v>423</v>
      </c>
      <c r="N107" s="43" t="s">
        <v>422</v>
      </c>
    </row>
    <row r="108" spans="1:16" ht="15.75" thickBot="1" x14ac:dyDescent="0.3">
      <c r="A108" s="15" t="s">
        <v>373</v>
      </c>
      <c r="B108" s="15" t="s">
        <v>372</v>
      </c>
      <c r="C108" s="57" t="s">
        <v>16</v>
      </c>
      <c r="D108" s="45" t="s">
        <v>374</v>
      </c>
      <c r="E108" s="58" t="s">
        <v>427</v>
      </c>
      <c r="F108" s="8" t="s">
        <v>19</v>
      </c>
      <c r="G108" s="14" t="s">
        <v>30</v>
      </c>
      <c r="H108" s="10">
        <v>1</v>
      </c>
      <c r="I108" s="11">
        <v>0</v>
      </c>
      <c r="J108" s="10">
        <v>0</v>
      </c>
      <c r="K108" s="11">
        <v>0</v>
      </c>
      <c r="L108" s="22">
        <f t="shared" ref="L108" si="17">H108+I108+J108+K108</f>
        <v>1</v>
      </c>
      <c r="M108" s="26" t="s">
        <v>425</v>
      </c>
      <c r="N108" s="27" t="s">
        <v>426</v>
      </c>
    </row>
    <row r="109" spans="1:16" ht="15.75" thickBot="1" x14ac:dyDescent="0.3">
      <c r="A109" s="15" t="s">
        <v>373</v>
      </c>
      <c r="B109" s="15" t="s">
        <v>372</v>
      </c>
      <c r="C109" s="57" t="s">
        <v>16</v>
      </c>
      <c r="D109" s="45" t="s">
        <v>374</v>
      </c>
      <c r="E109" s="58" t="s">
        <v>430</v>
      </c>
      <c r="F109" s="8" t="s">
        <v>19</v>
      </c>
      <c r="G109" s="14" t="s">
        <v>30</v>
      </c>
      <c r="H109" s="10">
        <v>1</v>
      </c>
      <c r="I109" s="11">
        <v>0</v>
      </c>
      <c r="J109" s="10">
        <v>0</v>
      </c>
      <c r="K109" s="11">
        <v>0</v>
      </c>
      <c r="L109" s="22">
        <f t="shared" ref="L109" si="18">H109+I109+J109+K109</f>
        <v>1</v>
      </c>
      <c r="M109" s="42" t="s">
        <v>428</v>
      </c>
      <c r="N109" s="43" t="s">
        <v>429</v>
      </c>
    </row>
    <row r="110" spans="1:16" ht="15.75" thickBot="1" x14ac:dyDescent="0.3">
      <c r="A110" s="15" t="s">
        <v>373</v>
      </c>
      <c r="B110" s="15" t="s">
        <v>372</v>
      </c>
      <c r="C110" s="57" t="s">
        <v>16</v>
      </c>
      <c r="D110" s="45" t="s">
        <v>374</v>
      </c>
      <c r="E110" t="s">
        <v>433</v>
      </c>
      <c r="F110" s="8" t="s">
        <v>19</v>
      </c>
      <c r="G110" s="14" t="s">
        <v>30</v>
      </c>
      <c r="H110" s="10">
        <v>1</v>
      </c>
      <c r="I110" s="11">
        <v>0</v>
      </c>
      <c r="J110" s="10">
        <v>0</v>
      </c>
      <c r="K110" s="11">
        <v>0</v>
      </c>
      <c r="L110" s="22">
        <f t="shared" ref="L110" si="19">H110+I110+J110+K110</f>
        <v>1</v>
      </c>
      <c r="M110" s="42" t="s">
        <v>431</v>
      </c>
      <c r="N110" s="43" t="s">
        <v>432</v>
      </c>
    </row>
    <row r="111" spans="1:16" ht="15.75" thickBot="1" x14ac:dyDescent="0.3">
      <c r="A111" s="15" t="s">
        <v>373</v>
      </c>
      <c r="B111" s="15" t="s">
        <v>372</v>
      </c>
      <c r="C111" s="57" t="s">
        <v>16</v>
      </c>
      <c r="D111" s="45" t="s">
        <v>51</v>
      </c>
      <c r="E111" t="s">
        <v>436</v>
      </c>
      <c r="F111" s="8" t="s">
        <v>19</v>
      </c>
      <c r="G111" s="14" t="s">
        <v>20</v>
      </c>
      <c r="H111" s="10">
        <v>1</v>
      </c>
      <c r="I111" s="11">
        <v>0</v>
      </c>
      <c r="J111" s="10">
        <v>0</v>
      </c>
      <c r="K111" s="11">
        <v>0</v>
      </c>
      <c r="L111" s="22">
        <f t="shared" ref="L111" si="20">H111+I111+J111+K111</f>
        <v>1</v>
      </c>
      <c r="M111" s="42" t="s">
        <v>434</v>
      </c>
      <c r="N111" s="43" t="s">
        <v>435</v>
      </c>
      <c r="P111" t="s">
        <v>437</v>
      </c>
    </row>
    <row r="112" spans="1:16" ht="15.75" thickBot="1" x14ac:dyDescent="0.3">
      <c r="A112" s="15" t="s">
        <v>373</v>
      </c>
      <c r="B112" s="15" t="s">
        <v>372</v>
      </c>
      <c r="C112" s="57" t="s">
        <v>16</v>
      </c>
      <c r="D112" s="45" t="s">
        <v>51</v>
      </c>
      <c r="E112" t="s">
        <v>440</v>
      </c>
      <c r="F112" s="8" t="s">
        <v>19</v>
      </c>
      <c r="G112" s="14" t="s">
        <v>20</v>
      </c>
      <c r="H112" s="10">
        <v>1</v>
      </c>
      <c r="I112" s="11">
        <v>0</v>
      </c>
      <c r="J112" s="10">
        <v>0</v>
      </c>
      <c r="K112" s="11">
        <v>0</v>
      </c>
      <c r="L112" s="22">
        <f t="shared" ref="L112:L114" si="21">H112+I112+J112+K112</f>
        <v>1</v>
      </c>
      <c r="M112" s="42" t="s">
        <v>438</v>
      </c>
      <c r="N112" s="43" t="s">
        <v>439</v>
      </c>
    </row>
    <row r="113" spans="1:16" ht="15.75" thickBot="1" x14ac:dyDescent="0.3">
      <c r="A113" s="15" t="s">
        <v>373</v>
      </c>
      <c r="B113" s="15" t="s">
        <v>372</v>
      </c>
      <c r="C113" s="57" t="s">
        <v>16</v>
      </c>
      <c r="D113" s="45" t="s">
        <v>374</v>
      </c>
      <c r="E113" t="s">
        <v>443</v>
      </c>
      <c r="F113" s="8" t="s">
        <v>19</v>
      </c>
      <c r="G113" s="14" t="s">
        <v>30</v>
      </c>
      <c r="H113" s="10">
        <v>1</v>
      </c>
      <c r="I113" s="11">
        <v>0</v>
      </c>
      <c r="J113" s="10">
        <v>0</v>
      </c>
      <c r="K113" s="11">
        <v>0</v>
      </c>
      <c r="L113" s="22">
        <f t="shared" si="21"/>
        <v>1</v>
      </c>
      <c r="M113" s="42" t="s">
        <v>442</v>
      </c>
      <c r="N113" s="43" t="s">
        <v>441</v>
      </c>
    </row>
    <row r="114" spans="1:16" ht="15.75" thickBot="1" x14ac:dyDescent="0.3">
      <c r="A114" s="15" t="s">
        <v>373</v>
      </c>
      <c r="B114" s="15" t="s">
        <v>372</v>
      </c>
      <c r="C114" s="57" t="s">
        <v>16</v>
      </c>
      <c r="D114" s="45" t="s">
        <v>374</v>
      </c>
      <c r="E114" t="s">
        <v>446</v>
      </c>
      <c r="F114" s="59" t="s">
        <v>25</v>
      </c>
      <c r="G114" s="14" t="s">
        <v>30</v>
      </c>
      <c r="H114" s="10">
        <v>1</v>
      </c>
      <c r="I114" s="11">
        <v>0</v>
      </c>
      <c r="J114" s="10">
        <v>0</v>
      </c>
      <c r="K114" s="11">
        <v>0</v>
      </c>
      <c r="L114" s="22">
        <f t="shared" si="21"/>
        <v>1</v>
      </c>
      <c r="M114" s="42" t="s">
        <v>444</v>
      </c>
      <c r="N114" s="43" t="s">
        <v>445</v>
      </c>
    </row>
    <row r="115" spans="1:16" ht="15.75" thickBot="1" x14ac:dyDescent="0.3">
      <c r="A115" s="15" t="s">
        <v>373</v>
      </c>
      <c r="B115" s="15" t="s">
        <v>372</v>
      </c>
      <c r="C115" s="57" t="s">
        <v>16</v>
      </c>
      <c r="D115" s="45" t="s">
        <v>374</v>
      </c>
      <c r="E115" t="s">
        <v>449</v>
      </c>
      <c r="F115" s="8" t="s">
        <v>19</v>
      </c>
      <c r="G115" s="14" t="s">
        <v>30</v>
      </c>
      <c r="H115" s="10">
        <v>1</v>
      </c>
      <c r="I115" s="11">
        <v>0</v>
      </c>
      <c r="J115" s="10">
        <v>0</v>
      </c>
      <c r="K115" s="11">
        <v>0</v>
      </c>
      <c r="L115" s="22">
        <f t="shared" ref="L115:L116" si="22">H115+I115+J115+K115</f>
        <v>1</v>
      </c>
      <c r="M115" s="42" t="s">
        <v>448</v>
      </c>
      <c r="N115" s="43" t="s">
        <v>447</v>
      </c>
    </row>
    <row r="116" spans="1:16" ht="15.75" thickBot="1" x14ac:dyDescent="0.3">
      <c r="A116" s="15" t="s">
        <v>373</v>
      </c>
      <c r="B116" s="15" t="s">
        <v>372</v>
      </c>
      <c r="C116" s="57" t="s">
        <v>16</v>
      </c>
      <c r="D116" s="45" t="s">
        <v>51</v>
      </c>
      <c r="E116" t="s">
        <v>452</v>
      </c>
      <c r="F116" s="59" t="s">
        <v>25</v>
      </c>
      <c r="G116" s="14" t="s">
        <v>20</v>
      </c>
      <c r="H116" s="10">
        <v>1</v>
      </c>
      <c r="I116" s="11">
        <v>0</v>
      </c>
      <c r="J116" s="10">
        <v>0</v>
      </c>
      <c r="K116" s="11">
        <v>0</v>
      </c>
      <c r="L116" s="22">
        <f t="shared" si="22"/>
        <v>1</v>
      </c>
      <c r="M116" s="42" t="s">
        <v>450</v>
      </c>
      <c r="N116" s="43" t="s">
        <v>451</v>
      </c>
    </row>
    <row r="117" spans="1:16" ht="15.75" thickBot="1" x14ac:dyDescent="0.3">
      <c r="A117" s="15" t="s">
        <v>373</v>
      </c>
      <c r="B117" s="15" t="s">
        <v>372</v>
      </c>
      <c r="C117" s="57" t="s">
        <v>16</v>
      </c>
      <c r="D117" s="45" t="s">
        <v>374</v>
      </c>
      <c r="E117" t="s">
        <v>455</v>
      </c>
      <c r="F117" s="59" t="s">
        <v>25</v>
      </c>
      <c r="G117" s="14" t="s">
        <v>30</v>
      </c>
      <c r="H117" s="10">
        <v>1</v>
      </c>
      <c r="I117" s="11">
        <v>0</v>
      </c>
      <c r="J117" s="10">
        <v>0</v>
      </c>
      <c r="K117" s="11">
        <v>0</v>
      </c>
      <c r="L117" s="22">
        <f t="shared" ref="L117:L118" si="23">H117+I117+J117+K117</f>
        <v>1</v>
      </c>
      <c r="M117" s="42" t="s">
        <v>453</v>
      </c>
      <c r="N117" s="43" t="s">
        <v>454</v>
      </c>
    </row>
    <row r="118" spans="1:16" ht="15.75" thickBot="1" x14ac:dyDescent="0.3">
      <c r="A118" s="15" t="s">
        <v>373</v>
      </c>
      <c r="B118" s="15" t="s">
        <v>372</v>
      </c>
      <c r="C118" s="57" t="s">
        <v>16</v>
      </c>
      <c r="D118" s="45" t="s">
        <v>374</v>
      </c>
      <c r="E118" t="s">
        <v>458</v>
      </c>
      <c r="F118" s="8" t="s">
        <v>19</v>
      </c>
      <c r="G118" s="14" t="s">
        <v>30</v>
      </c>
      <c r="H118" s="10">
        <v>1</v>
      </c>
      <c r="I118" s="11">
        <v>0</v>
      </c>
      <c r="J118" s="10">
        <v>0</v>
      </c>
      <c r="K118" s="11">
        <v>0</v>
      </c>
      <c r="L118" s="22">
        <f t="shared" si="23"/>
        <v>1</v>
      </c>
      <c r="M118" s="42" t="s">
        <v>456</v>
      </c>
      <c r="N118" s="43" t="s">
        <v>457</v>
      </c>
    </row>
    <row r="119" spans="1:16" ht="15.75" thickBot="1" x14ac:dyDescent="0.3">
      <c r="A119" s="15" t="s">
        <v>373</v>
      </c>
      <c r="B119" s="15" t="s">
        <v>372</v>
      </c>
      <c r="C119" s="57" t="s">
        <v>16</v>
      </c>
      <c r="D119" s="45" t="s">
        <v>374</v>
      </c>
      <c r="E119" t="s">
        <v>461</v>
      </c>
      <c r="F119" s="59" t="s">
        <v>25</v>
      </c>
      <c r="G119" s="14" t="s">
        <v>30</v>
      </c>
      <c r="H119" s="10">
        <v>1</v>
      </c>
      <c r="I119" s="11">
        <v>0</v>
      </c>
      <c r="J119" s="10">
        <v>0</v>
      </c>
      <c r="K119" s="11">
        <v>0</v>
      </c>
      <c r="L119" s="22">
        <f t="shared" ref="L119" si="24">H119+I119+J119+K119</f>
        <v>1</v>
      </c>
      <c r="M119" s="42" t="s">
        <v>459</v>
      </c>
      <c r="N119" s="43" t="s">
        <v>460</v>
      </c>
      <c r="P119" t="s">
        <v>462</v>
      </c>
    </row>
    <row r="120" spans="1:16" ht="15.75" thickBot="1" x14ac:dyDescent="0.3">
      <c r="A120" s="15" t="s">
        <v>373</v>
      </c>
      <c r="B120" s="15" t="s">
        <v>372</v>
      </c>
      <c r="C120" s="57" t="s">
        <v>16</v>
      </c>
      <c r="D120" s="45" t="s">
        <v>374</v>
      </c>
      <c r="E120" t="s">
        <v>465</v>
      </c>
      <c r="F120" s="59" t="s">
        <v>25</v>
      </c>
      <c r="G120" s="14" t="s">
        <v>30</v>
      </c>
      <c r="H120" s="10">
        <v>1</v>
      </c>
      <c r="I120" s="11">
        <v>0</v>
      </c>
      <c r="J120" s="10">
        <v>0</v>
      </c>
      <c r="K120" s="11">
        <v>0</v>
      </c>
      <c r="L120" s="22">
        <f t="shared" ref="L120:L121" si="25">H120+I120+J120+K120</f>
        <v>1</v>
      </c>
      <c r="M120" s="42" t="s">
        <v>463</v>
      </c>
      <c r="N120" s="43" t="s">
        <v>464</v>
      </c>
      <c r="P120" t="s">
        <v>499</v>
      </c>
    </row>
    <row r="121" spans="1:16" ht="15.75" thickBot="1" x14ac:dyDescent="0.3">
      <c r="A121" s="15" t="s">
        <v>373</v>
      </c>
      <c r="B121" s="15" t="s">
        <v>372</v>
      </c>
      <c r="C121" s="57" t="s">
        <v>16</v>
      </c>
      <c r="D121" s="45" t="s">
        <v>51</v>
      </c>
      <c r="E121" t="s">
        <v>468</v>
      </c>
      <c r="F121" s="59" t="s">
        <v>25</v>
      </c>
      <c r="G121" s="14" t="s">
        <v>20</v>
      </c>
      <c r="H121" s="10">
        <v>1</v>
      </c>
      <c r="I121" s="11">
        <v>0</v>
      </c>
      <c r="J121" s="10">
        <v>0</v>
      </c>
      <c r="K121" s="11">
        <v>0</v>
      </c>
      <c r="L121" s="22">
        <f t="shared" si="25"/>
        <v>1</v>
      </c>
      <c r="M121" s="42" t="s">
        <v>466</v>
      </c>
      <c r="N121" s="43" t="s">
        <v>467</v>
      </c>
    </row>
    <row r="122" spans="1:16" ht="15.75" thickBot="1" x14ac:dyDescent="0.3">
      <c r="A122" s="15" t="s">
        <v>373</v>
      </c>
      <c r="B122" s="15" t="s">
        <v>372</v>
      </c>
      <c r="C122" s="57" t="s">
        <v>16</v>
      </c>
      <c r="D122" s="45" t="s">
        <v>51</v>
      </c>
      <c r="E122" t="s">
        <v>471</v>
      </c>
      <c r="F122" s="59" t="s">
        <v>25</v>
      </c>
      <c r="G122" s="14" t="s">
        <v>20</v>
      </c>
      <c r="H122" s="10">
        <v>1</v>
      </c>
      <c r="I122" s="11">
        <v>0</v>
      </c>
      <c r="J122" s="10">
        <v>0</v>
      </c>
      <c r="K122" s="11">
        <v>0</v>
      </c>
      <c r="L122" s="22">
        <f t="shared" ref="L122" si="26">H122+I122+J122+K122</f>
        <v>1</v>
      </c>
      <c r="M122" s="42" t="s">
        <v>469</v>
      </c>
      <c r="N122" s="43" t="s">
        <v>470</v>
      </c>
    </row>
    <row r="123" spans="1:16" ht="15.75" thickBot="1" x14ac:dyDescent="0.3">
      <c r="A123" s="15" t="s">
        <v>373</v>
      </c>
      <c r="B123" s="15" t="s">
        <v>372</v>
      </c>
      <c r="C123" s="57" t="s">
        <v>16</v>
      </c>
      <c r="D123" s="45" t="s">
        <v>51</v>
      </c>
      <c r="E123" t="s">
        <v>474</v>
      </c>
      <c r="F123" s="8" t="s">
        <v>19</v>
      </c>
      <c r="G123" s="14" t="s">
        <v>20</v>
      </c>
      <c r="H123" s="10">
        <v>1</v>
      </c>
      <c r="I123" s="11">
        <v>0</v>
      </c>
      <c r="J123" s="10">
        <v>0</v>
      </c>
      <c r="K123" s="11">
        <v>0</v>
      </c>
      <c r="L123" s="22">
        <f t="shared" ref="L123:L124" si="27">H123+I123+J123+K123</f>
        <v>1</v>
      </c>
      <c r="M123" s="42" t="s">
        <v>472</v>
      </c>
      <c r="N123" s="43" t="s">
        <v>473</v>
      </c>
    </row>
    <row r="124" spans="1:16" ht="15.75" thickBot="1" x14ac:dyDescent="0.3">
      <c r="A124" s="15" t="s">
        <v>373</v>
      </c>
      <c r="B124" s="15" t="s">
        <v>372</v>
      </c>
      <c r="C124" s="57" t="s">
        <v>16</v>
      </c>
      <c r="D124" s="45" t="s">
        <v>374</v>
      </c>
      <c r="E124" t="s">
        <v>477</v>
      </c>
      <c r="F124" s="8" t="s">
        <v>19</v>
      </c>
      <c r="G124" s="14" t="s">
        <v>30</v>
      </c>
      <c r="H124" s="10">
        <v>1</v>
      </c>
      <c r="I124" s="11">
        <v>0</v>
      </c>
      <c r="J124" s="10">
        <v>0</v>
      </c>
      <c r="K124" s="11">
        <v>0</v>
      </c>
      <c r="L124" s="22">
        <f t="shared" si="27"/>
        <v>1</v>
      </c>
      <c r="M124" s="42" t="s">
        <v>475</v>
      </c>
      <c r="N124" s="43" t="s">
        <v>476</v>
      </c>
    </row>
    <row r="125" spans="1:16" ht="15.75" thickBot="1" x14ac:dyDescent="0.3">
      <c r="A125" s="15" t="s">
        <v>373</v>
      </c>
      <c r="B125" s="15" t="s">
        <v>372</v>
      </c>
      <c r="C125" s="57" t="s">
        <v>16</v>
      </c>
      <c r="D125" s="45" t="s">
        <v>374</v>
      </c>
      <c r="E125" t="s">
        <v>480</v>
      </c>
      <c r="F125" s="8" t="s">
        <v>19</v>
      </c>
      <c r="G125" s="14" t="s">
        <v>30</v>
      </c>
      <c r="H125" s="10">
        <v>1</v>
      </c>
      <c r="I125" s="11">
        <v>0</v>
      </c>
      <c r="J125" s="10">
        <v>0</v>
      </c>
      <c r="K125" s="11">
        <v>0</v>
      </c>
      <c r="L125" s="22">
        <f t="shared" ref="L125" si="28">H125+I125+J125+K125</f>
        <v>1</v>
      </c>
      <c r="M125" s="42" t="s">
        <v>478</v>
      </c>
      <c r="N125" s="43" t="s">
        <v>479</v>
      </c>
    </row>
    <row r="126" spans="1:16" ht="15.75" thickBot="1" x14ac:dyDescent="0.3">
      <c r="A126" s="15" t="s">
        <v>373</v>
      </c>
      <c r="B126" s="15" t="s">
        <v>372</v>
      </c>
      <c r="C126" s="57" t="s">
        <v>16</v>
      </c>
      <c r="D126" s="45" t="s">
        <v>374</v>
      </c>
      <c r="E126" t="s">
        <v>483</v>
      </c>
      <c r="F126" s="8" t="s">
        <v>19</v>
      </c>
      <c r="G126" s="14" t="s">
        <v>30</v>
      </c>
      <c r="H126" s="10">
        <v>1</v>
      </c>
      <c r="I126" s="11">
        <v>0</v>
      </c>
      <c r="J126" s="10">
        <v>0</v>
      </c>
      <c r="K126" s="11">
        <v>0</v>
      </c>
      <c r="L126" s="22">
        <f t="shared" ref="L126:L129" si="29">H126+I126+J126+K126</f>
        <v>1</v>
      </c>
      <c r="M126" s="42" t="s">
        <v>481</v>
      </c>
      <c r="N126" s="43" t="s">
        <v>482</v>
      </c>
      <c r="P126" t="s">
        <v>437</v>
      </c>
    </row>
    <row r="127" spans="1:16" ht="15.75" thickBot="1" x14ac:dyDescent="0.3">
      <c r="A127" s="15" t="s">
        <v>373</v>
      </c>
      <c r="B127" s="15" t="s">
        <v>372</v>
      </c>
      <c r="C127" s="57" t="s">
        <v>16</v>
      </c>
      <c r="D127" s="45" t="s">
        <v>374</v>
      </c>
      <c r="E127" t="s">
        <v>486</v>
      </c>
      <c r="F127" s="59" t="s">
        <v>25</v>
      </c>
      <c r="G127" s="14" t="s">
        <v>30</v>
      </c>
      <c r="H127" s="10">
        <v>1</v>
      </c>
      <c r="I127" s="11">
        <v>0</v>
      </c>
      <c r="J127" s="10">
        <v>0</v>
      </c>
      <c r="K127" s="11">
        <v>0</v>
      </c>
      <c r="L127" s="22">
        <f t="shared" si="29"/>
        <v>1</v>
      </c>
      <c r="M127" s="42" t="s">
        <v>484</v>
      </c>
      <c r="N127" s="43" t="s">
        <v>485</v>
      </c>
    </row>
    <row r="128" spans="1:16" ht="15.75" thickBot="1" x14ac:dyDescent="0.3">
      <c r="A128" s="15" t="s">
        <v>373</v>
      </c>
      <c r="B128" s="15" t="s">
        <v>372</v>
      </c>
      <c r="C128" s="57" t="s">
        <v>16</v>
      </c>
      <c r="D128" s="45" t="s">
        <v>51</v>
      </c>
      <c r="E128" t="s">
        <v>487</v>
      </c>
      <c r="F128" s="59" t="s">
        <v>25</v>
      </c>
      <c r="G128" s="14" t="s">
        <v>20</v>
      </c>
      <c r="H128" s="10">
        <v>1</v>
      </c>
      <c r="I128" s="11">
        <v>0</v>
      </c>
      <c r="J128" s="10">
        <v>0</v>
      </c>
      <c r="K128" s="11">
        <v>0</v>
      </c>
      <c r="L128" s="22">
        <f t="shared" si="29"/>
        <v>1</v>
      </c>
      <c r="M128" s="42" t="s">
        <v>494</v>
      </c>
      <c r="N128" s="43" t="s">
        <v>495</v>
      </c>
    </row>
    <row r="129" spans="1:14" ht="15.75" thickBot="1" x14ac:dyDescent="0.3">
      <c r="A129" s="15" t="s">
        <v>373</v>
      </c>
      <c r="B129" s="15" t="s">
        <v>372</v>
      </c>
      <c r="C129" s="57" t="s">
        <v>16</v>
      </c>
      <c r="D129" s="45" t="s">
        <v>51</v>
      </c>
      <c r="E129" t="s">
        <v>490</v>
      </c>
      <c r="F129" s="59" t="s">
        <v>25</v>
      </c>
      <c r="G129" s="14" t="s">
        <v>20</v>
      </c>
      <c r="H129" s="10">
        <v>1</v>
      </c>
      <c r="I129" s="11">
        <v>0</v>
      </c>
      <c r="J129" s="10">
        <v>0</v>
      </c>
      <c r="K129" s="11">
        <v>0</v>
      </c>
      <c r="L129" s="22">
        <f t="shared" si="29"/>
        <v>1</v>
      </c>
      <c r="M129" s="26" t="s">
        <v>488</v>
      </c>
      <c r="N129" s="27" t="s">
        <v>489</v>
      </c>
    </row>
    <row r="130" spans="1:14" ht="15.75" thickBot="1" x14ac:dyDescent="0.3">
      <c r="A130" s="15" t="s">
        <v>373</v>
      </c>
      <c r="B130" s="15" t="s">
        <v>372</v>
      </c>
      <c r="C130" s="57" t="s">
        <v>16</v>
      </c>
      <c r="D130" s="45" t="s">
        <v>374</v>
      </c>
      <c r="E130" t="s">
        <v>493</v>
      </c>
      <c r="F130" s="59" t="s">
        <v>25</v>
      </c>
      <c r="G130" s="14" t="s">
        <v>30</v>
      </c>
      <c r="H130" s="10">
        <v>1</v>
      </c>
      <c r="I130" s="11">
        <v>0</v>
      </c>
      <c r="J130" s="10">
        <v>0</v>
      </c>
      <c r="K130" s="11">
        <v>0</v>
      </c>
      <c r="L130" s="22">
        <f t="shared" ref="L130" si="30">H130+I130+J130+K130</f>
        <v>1</v>
      </c>
      <c r="M130" s="42" t="s">
        <v>491</v>
      </c>
      <c r="N130" s="43" t="s">
        <v>492</v>
      </c>
    </row>
    <row r="131" spans="1:14" ht="15.75" thickBot="1" x14ac:dyDescent="0.3">
      <c r="A131" s="15" t="s">
        <v>373</v>
      </c>
      <c r="B131" s="15" t="s">
        <v>372</v>
      </c>
      <c r="C131" s="57" t="s">
        <v>16</v>
      </c>
      <c r="D131" s="45" t="s">
        <v>374</v>
      </c>
      <c r="E131" t="s">
        <v>498</v>
      </c>
      <c r="F131" s="8" t="s">
        <v>19</v>
      </c>
      <c r="G131" s="14" t="s">
        <v>30</v>
      </c>
      <c r="H131" s="10">
        <v>2</v>
      </c>
      <c r="I131" s="11">
        <v>0</v>
      </c>
      <c r="J131" s="10">
        <v>0</v>
      </c>
      <c r="K131" s="11">
        <v>0</v>
      </c>
      <c r="L131" s="22">
        <v>2</v>
      </c>
      <c r="M131" s="42" t="s">
        <v>496</v>
      </c>
      <c r="N131" s="43" t="s">
        <v>497</v>
      </c>
    </row>
    <row r="132" spans="1:14" ht="15.75" thickBot="1" x14ac:dyDescent="0.3">
      <c r="A132" s="15" t="s">
        <v>373</v>
      </c>
      <c r="B132" s="15" t="s">
        <v>372</v>
      </c>
      <c r="C132" s="57" t="s">
        <v>16</v>
      </c>
      <c r="D132" s="45" t="s">
        <v>51</v>
      </c>
      <c r="E132" t="s">
        <v>502</v>
      </c>
      <c r="F132" s="8" t="s">
        <v>19</v>
      </c>
      <c r="G132" s="14" t="s">
        <v>20</v>
      </c>
      <c r="H132" s="10">
        <v>1</v>
      </c>
      <c r="I132" s="11">
        <v>0</v>
      </c>
      <c r="J132" s="10">
        <v>0</v>
      </c>
      <c r="K132" s="11">
        <v>0</v>
      </c>
      <c r="L132" s="22">
        <f t="shared" ref="L132:L134" si="31">H132+I132+J132+K132</f>
        <v>1</v>
      </c>
      <c r="M132" s="42" t="s">
        <v>500</v>
      </c>
      <c r="N132" s="43" t="s">
        <v>501</v>
      </c>
    </row>
    <row r="133" spans="1:14" ht="15.75" thickBot="1" x14ac:dyDescent="0.3">
      <c r="A133" s="15" t="s">
        <v>373</v>
      </c>
      <c r="B133" s="15" t="s">
        <v>372</v>
      </c>
      <c r="C133" s="57" t="s">
        <v>16</v>
      </c>
      <c r="D133" s="45" t="s">
        <v>374</v>
      </c>
      <c r="E133" t="s">
        <v>505</v>
      </c>
      <c r="F133" s="59" t="s">
        <v>25</v>
      </c>
      <c r="G133" s="14" t="s">
        <v>30</v>
      </c>
      <c r="H133" s="10">
        <v>1</v>
      </c>
      <c r="I133" s="11">
        <v>0</v>
      </c>
      <c r="J133" s="10">
        <v>0</v>
      </c>
      <c r="K133" s="11">
        <v>0</v>
      </c>
      <c r="L133" s="22">
        <f t="shared" si="31"/>
        <v>1</v>
      </c>
      <c r="M133" s="42" t="s">
        <v>503</v>
      </c>
      <c r="N133" s="43" t="s">
        <v>504</v>
      </c>
    </row>
    <row r="134" spans="1:14" ht="15.75" thickBot="1" x14ac:dyDescent="0.3">
      <c r="A134" s="15" t="s">
        <v>373</v>
      </c>
      <c r="B134" s="15" t="s">
        <v>372</v>
      </c>
      <c r="C134" s="57" t="s">
        <v>16</v>
      </c>
      <c r="D134" s="45" t="s">
        <v>374</v>
      </c>
      <c r="E134" t="s">
        <v>508</v>
      </c>
      <c r="F134" s="8" t="s">
        <v>19</v>
      </c>
      <c r="G134" s="14" t="s">
        <v>30</v>
      </c>
      <c r="H134" s="10">
        <v>1</v>
      </c>
      <c r="I134" s="11">
        <v>0</v>
      </c>
      <c r="J134" s="10">
        <v>0</v>
      </c>
      <c r="K134" s="11">
        <v>0</v>
      </c>
      <c r="L134" s="22">
        <f t="shared" si="31"/>
        <v>1</v>
      </c>
      <c r="M134" s="42" t="s">
        <v>506</v>
      </c>
      <c r="N134" s="43" t="s">
        <v>507</v>
      </c>
    </row>
    <row r="135" spans="1:14" ht="15.75" thickBot="1" x14ac:dyDescent="0.3">
      <c r="A135" s="15" t="s">
        <v>373</v>
      </c>
      <c r="B135" s="15" t="s">
        <v>372</v>
      </c>
      <c r="C135" s="57" t="s">
        <v>16</v>
      </c>
      <c r="D135" s="45" t="s">
        <v>374</v>
      </c>
      <c r="E135" t="s">
        <v>511</v>
      </c>
      <c r="F135" s="59" t="s">
        <v>25</v>
      </c>
      <c r="G135" s="14" t="s">
        <v>30</v>
      </c>
      <c r="H135" s="10">
        <v>1</v>
      </c>
      <c r="I135" s="11">
        <v>0</v>
      </c>
      <c r="J135" s="10">
        <v>0</v>
      </c>
      <c r="K135" s="11">
        <v>0</v>
      </c>
      <c r="L135" s="22">
        <f t="shared" ref="L135" si="32">H135+I135+J135+K135</f>
        <v>1</v>
      </c>
      <c r="M135" s="42" t="s">
        <v>509</v>
      </c>
      <c r="N135" s="43" t="s">
        <v>510</v>
      </c>
    </row>
    <row r="136" spans="1:14" ht="15.75" thickBot="1" x14ac:dyDescent="0.3">
      <c r="A136" s="15" t="s">
        <v>373</v>
      </c>
      <c r="B136" s="15" t="s">
        <v>372</v>
      </c>
      <c r="C136" s="57" t="s">
        <v>16</v>
      </c>
      <c r="D136" s="45" t="s">
        <v>374</v>
      </c>
      <c r="E136" t="s">
        <v>514</v>
      </c>
      <c r="F136" s="59" t="s">
        <v>25</v>
      </c>
      <c r="G136" s="14" t="s">
        <v>30</v>
      </c>
      <c r="H136" s="10">
        <v>1</v>
      </c>
      <c r="I136" s="11">
        <v>0</v>
      </c>
      <c r="J136" s="10">
        <v>0</v>
      </c>
      <c r="K136" s="11">
        <v>0</v>
      </c>
      <c r="L136" s="22">
        <f t="shared" ref="L136" si="33">H136+I136+J136+K136</f>
        <v>1</v>
      </c>
      <c r="M136" s="42" t="s">
        <v>512</v>
      </c>
      <c r="N136" s="43" t="s">
        <v>513</v>
      </c>
    </row>
  </sheetData>
  <mergeCells count="7">
    <mergeCell ref="O71:O80"/>
    <mergeCell ref="O81:O90"/>
    <mergeCell ref="O2:O25"/>
    <mergeCell ref="O26:O48"/>
    <mergeCell ref="O50:O58"/>
    <mergeCell ref="O59:O64"/>
    <mergeCell ref="O65:O70"/>
  </mergeCells>
  <pageMargins left="0.25" right="0.25" top="0.75" bottom="0.75" header="0.3" footer="0.3"/>
  <pageSetup paperSize="8" scale="6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41D3D3-F4E7-48CB-8624-5928C7034541}">
  <dimension ref="A1:O70"/>
  <sheetViews>
    <sheetView topLeftCell="A25" workbookViewId="0">
      <selection activeCell="C57" sqref="C57"/>
    </sheetView>
  </sheetViews>
  <sheetFormatPr defaultRowHeight="15" x14ac:dyDescent="0.25"/>
  <cols>
    <col min="1" max="1" width="21.42578125" customWidth="1"/>
    <col min="2" max="2" width="28.140625" customWidth="1"/>
    <col min="3" max="3" width="34.7109375" customWidth="1"/>
    <col min="4" max="4" width="31.42578125" customWidth="1"/>
    <col min="12" max="12" width="15" customWidth="1"/>
    <col min="13" max="13" width="120.28515625" customWidth="1"/>
    <col min="14" max="14" width="12.5703125" customWidth="1"/>
    <col min="15" max="15" width="53.7109375" customWidth="1"/>
  </cols>
  <sheetData>
    <row r="1" spans="1:15" ht="30" x14ac:dyDescent="0.25">
      <c r="A1" s="64" t="s">
        <v>0</v>
      </c>
      <c r="B1" s="64" t="s">
        <v>1</v>
      </c>
      <c r="C1" s="64" t="s">
        <v>3</v>
      </c>
      <c r="D1" s="65" t="s">
        <v>4</v>
      </c>
      <c r="E1" s="64" t="s">
        <v>5</v>
      </c>
      <c r="F1" s="64" t="s">
        <v>6</v>
      </c>
      <c r="G1" s="65" t="s">
        <v>7</v>
      </c>
      <c r="H1" s="65" t="s">
        <v>8</v>
      </c>
      <c r="I1" s="65" t="s">
        <v>9</v>
      </c>
      <c r="J1" s="65" t="s">
        <v>10</v>
      </c>
      <c r="K1" s="65" t="s">
        <v>11</v>
      </c>
      <c r="L1" s="65" t="s">
        <v>12</v>
      </c>
      <c r="M1" s="64" t="s">
        <v>13</v>
      </c>
      <c r="N1" s="65" t="s">
        <v>515</v>
      </c>
      <c r="O1" s="64" t="s">
        <v>359</v>
      </c>
    </row>
    <row r="2" spans="1:15" x14ac:dyDescent="0.25">
      <c r="A2" s="66" t="s">
        <v>516</v>
      </c>
      <c r="B2" s="67" t="s">
        <v>517</v>
      </c>
      <c r="C2" s="68" t="s">
        <v>518</v>
      </c>
      <c r="D2" s="69" t="s">
        <v>95</v>
      </c>
      <c r="E2" s="70" t="s">
        <v>19</v>
      </c>
      <c r="F2" s="71" t="s">
        <v>306</v>
      </c>
      <c r="G2" s="10">
        <v>75</v>
      </c>
      <c r="H2" s="11">
        <v>0</v>
      </c>
      <c r="I2" s="10">
        <v>25</v>
      </c>
      <c r="J2" s="11">
        <v>0</v>
      </c>
      <c r="K2" s="22">
        <f t="shared" ref="K2:K11" si="0">G2+H2+I2+J2</f>
        <v>100</v>
      </c>
      <c r="L2" s="72" t="s">
        <v>519</v>
      </c>
      <c r="M2" s="72" t="s">
        <v>520</v>
      </c>
      <c r="N2" s="72" t="s">
        <v>521</v>
      </c>
      <c r="O2" s="69"/>
    </row>
    <row r="3" spans="1:15" x14ac:dyDescent="0.25">
      <c r="A3" s="73" t="s">
        <v>522</v>
      </c>
      <c r="B3" s="67" t="s">
        <v>523</v>
      </c>
      <c r="C3" s="68" t="s">
        <v>518</v>
      </c>
      <c r="D3" s="69" t="s">
        <v>524</v>
      </c>
      <c r="E3" s="70" t="s">
        <v>19</v>
      </c>
      <c r="F3" s="71" t="s">
        <v>306</v>
      </c>
      <c r="G3" s="10">
        <v>20</v>
      </c>
      <c r="H3" s="11">
        <v>0</v>
      </c>
      <c r="I3" s="10">
        <v>4</v>
      </c>
      <c r="J3" s="11">
        <v>0</v>
      </c>
      <c r="K3" s="22">
        <f t="shared" si="0"/>
        <v>24</v>
      </c>
      <c r="L3" s="72" t="s">
        <v>525</v>
      </c>
      <c r="M3" s="72" t="s">
        <v>526</v>
      </c>
      <c r="N3" s="72" t="s">
        <v>521</v>
      </c>
      <c r="O3" s="69"/>
    </row>
    <row r="4" spans="1:15" x14ac:dyDescent="0.25">
      <c r="A4" s="74" t="s">
        <v>527</v>
      </c>
      <c r="B4" s="67" t="s">
        <v>523</v>
      </c>
      <c r="C4" s="68" t="s">
        <v>518</v>
      </c>
      <c r="D4" s="69" t="s">
        <v>115</v>
      </c>
      <c r="E4" s="70" t="s">
        <v>19</v>
      </c>
      <c r="F4" s="71" t="s">
        <v>306</v>
      </c>
      <c r="G4" s="10">
        <v>27</v>
      </c>
      <c r="H4" s="11">
        <v>0</v>
      </c>
      <c r="I4" s="10">
        <v>5</v>
      </c>
      <c r="J4" s="11">
        <v>0</v>
      </c>
      <c r="K4" s="22">
        <f t="shared" si="0"/>
        <v>32</v>
      </c>
      <c r="L4" s="72" t="s">
        <v>528</v>
      </c>
      <c r="M4" s="72" t="s">
        <v>529</v>
      </c>
      <c r="N4" s="72" t="s">
        <v>521</v>
      </c>
      <c r="O4" s="69"/>
    </row>
    <row r="5" spans="1:15" x14ac:dyDescent="0.25">
      <c r="A5" s="75" t="s">
        <v>530</v>
      </c>
      <c r="B5" s="67" t="s">
        <v>523</v>
      </c>
      <c r="C5" s="68" t="s">
        <v>518</v>
      </c>
      <c r="D5" s="69" t="s">
        <v>531</v>
      </c>
      <c r="E5" s="70" t="s">
        <v>19</v>
      </c>
      <c r="F5" s="71" t="s">
        <v>306</v>
      </c>
      <c r="G5" s="10">
        <v>27</v>
      </c>
      <c r="H5" s="11">
        <v>0</v>
      </c>
      <c r="I5" s="10">
        <v>5</v>
      </c>
      <c r="J5" s="11">
        <v>0</v>
      </c>
      <c r="K5" s="22">
        <f t="shared" si="0"/>
        <v>32</v>
      </c>
      <c r="L5" s="72" t="s">
        <v>532</v>
      </c>
      <c r="M5" s="72" t="s">
        <v>533</v>
      </c>
      <c r="N5" s="72" t="s">
        <v>521</v>
      </c>
      <c r="O5" s="69"/>
    </row>
    <row r="6" spans="1:15" x14ac:dyDescent="0.25">
      <c r="A6" s="76" t="s">
        <v>534</v>
      </c>
      <c r="B6" s="67" t="s">
        <v>523</v>
      </c>
      <c r="C6" s="68" t="s">
        <v>518</v>
      </c>
      <c r="D6" s="69" t="s">
        <v>81</v>
      </c>
      <c r="E6" s="70" t="s">
        <v>19</v>
      </c>
      <c r="F6" s="71" t="s">
        <v>306</v>
      </c>
      <c r="G6" s="10">
        <v>27</v>
      </c>
      <c r="H6" s="11">
        <v>0</v>
      </c>
      <c r="I6" s="10">
        <v>5</v>
      </c>
      <c r="J6" s="11">
        <v>0</v>
      </c>
      <c r="K6" s="22">
        <f t="shared" si="0"/>
        <v>32</v>
      </c>
      <c r="L6" s="72" t="s">
        <v>535</v>
      </c>
      <c r="M6" s="72" t="s">
        <v>536</v>
      </c>
      <c r="N6" s="72" t="s">
        <v>521</v>
      </c>
      <c r="O6" s="69"/>
    </row>
    <row r="7" spans="1:15" x14ac:dyDescent="0.25">
      <c r="A7" s="77" t="s">
        <v>537</v>
      </c>
      <c r="B7" s="67" t="s">
        <v>538</v>
      </c>
      <c r="C7" s="67" t="s">
        <v>17</v>
      </c>
      <c r="D7" s="69" t="s">
        <v>539</v>
      </c>
      <c r="E7" s="70" t="s">
        <v>19</v>
      </c>
      <c r="F7" s="14" t="s">
        <v>30</v>
      </c>
      <c r="G7" s="10">
        <v>2</v>
      </c>
      <c r="H7" s="11">
        <v>2</v>
      </c>
      <c r="I7" s="10">
        <v>0</v>
      </c>
      <c r="J7" s="11">
        <v>0</v>
      </c>
      <c r="K7" s="22">
        <f t="shared" si="0"/>
        <v>4</v>
      </c>
      <c r="L7" s="72" t="s">
        <v>540</v>
      </c>
      <c r="M7" s="72" t="s">
        <v>541</v>
      </c>
      <c r="N7" s="72" t="s">
        <v>542</v>
      </c>
      <c r="O7" s="69"/>
    </row>
    <row r="8" spans="1:15" x14ac:dyDescent="0.25">
      <c r="A8" s="66" t="s">
        <v>543</v>
      </c>
      <c r="B8" s="67" t="s">
        <v>544</v>
      </c>
      <c r="C8" s="67" t="s">
        <v>17</v>
      </c>
      <c r="D8" s="69" t="s">
        <v>524</v>
      </c>
      <c r="E8" s="67" t="s">
        <v>25</v>
      </c>
      <c r="F8" s="14" t="s">
        <v>30</v>
      </c>
      <c r="G8" s="10">
        <v>3</v>
      </c>
      <c r="H8" s="11">
        <v>3</v>
      </c>
      <c r="I8" s="10">
        <v>0</v>
      </c>
      <c r="J8" s="11">
        <v>0</v>
      </c>
      <c r="K8" s="22">
        <f t="shared" si="0"/>
        <v>6</v>
      </c>
      <c r="L8" s="72" t="s">
        <v>545</v>
      </c>
      <c r="M8" s="72" t="s">
        <v>546</v>
      </c>
      <c r="N8" s="72" t="s">
        <v>547</v>
      </c>
      <c r="O8" s="69"/>
    </row>
    <row r="9" spans="1:15" x14ac:dyDescent="0.25">
      <c r="A9" s="73" t="s">
        <v>548</v>
      </c>
      <c r="B9" s="67" t="s">
        <v>549</v>
      </c>
      <c r="C9" s="67" t="s">
        <v>51</v>
      </c>
      <c r="D9" s="69" t="s">
        <v>539</v>
      </c>
      <c r="E9" s="70" t="s">
        <v>116</v>
      </c>
      <c r="F9" s="6" t="s">
        <v>20</v>
      </c>
      <c r="G9" s="10">
        <v>1</v>
      </c>
      <c r="H9" s="11">
        <v>0</v>
      </c>
      <c r="I9" s="10">
        <v>0</v>
      </c>
      <c r="J9" s="11">
        <v>0</v>
      </c>
      <c r="K9" s="22">
        <f t="shared" si="0"/>
        <v>1</v>
      </c>
      <c r="L9" s="72" t="s">
        <v>550</v>
      </c>
      <c r="M9" s="72" t="s">
        <v>551</v>
      </c>
      <c r="N9" s="72" t="s">
        <v>521</v>
      </c>
      <c r="O9" s="78" t="s">
        <v>552</v>
      </c>
    </row>
    <row r="10" spans="1:15" x14ac:dyDescent="0.25">
      <c r="A10" s="74" t="s">
        <v>553</v>
      </c>
      <c r="B10" s="67" t="s">
        <v>554</v>
      </c>
      <c r="C10" s="67" t="s">
        <v>17</v>
      </c>
      <c r="D10" s="69" t="s">
        <v>269</v>
      </c>
      <c r="E10" s="70" t="s">
        <v>19</v>
      </c>
      <c r="F10" s="14" t="s">
        <v>30</v>
      </c>
      <c r="G10" s="10">
        <v>6</v>
      </c>
      <c r="H10" s="11">
        <v>0</v>
      </c>
      <c r="I10" s="10">
        <v>0</v>
      </c>
      <c r="J10" s="11">
        <v>0</v>
      </c>
      <c r="K10" s="22">
        <f t="shared" si="0"/>
        <v>6</v>
      </c>
      <c r="L10" s="72" t="s">
        <v>555</v>
      </c>
      <c r="M10" s="72" t="s">
        <v>556</v>
      </c>
      <c r="N10" s="72" t="s">
        <v>547</v>
      </c>
      <c r="O10" s="69"/>
    </row>
    <row r="11" spans="1:15" x14ac:dyDescent="0.25">
      <c r="A11" s="75" t="s">
        <v>557</v>
      </c>
      <c r="B11" s="67" t="s">
        <v>558</v>
      </c>
      <c r="C11" s="67" t="s">
        <v>125</v>
      </c>
      <c r="D11" s="69" t="s">
        <v>115</v>
      </c>
      <c r="E11" s="67" t="s">
        <v>25</v>
      </c>
      <c r="F11" s="14" t="s">
        <v>30</v>
      </c>
      <c r="G11" s="10">
        <v>8</v>
      </c>
      <c r="H11" s="11">
        <v>0</v>
      </c>
      <c r="I11" s="10">
        <v>0</v>
      </c>
      <c r="J11" s="11">
        <v>0</v>
      </c>
      <c r="K11" s="22">
        <f t="shared" si="0"/>
        <v>8</v>
      </c>
      <c r="L11" s="72" t="s">
        <v>559</v>
      </c>
      <c r="M11" s="72" t="s">
        <v>560</v>
      </c>
      <c r="N11" s="72" t="s">
        <v>547</v>
      </c>
      <c r="O11" s="69"/>
    </row>
    <row r="12" spans="1:15" x14ac:dyDescent="0.25">
      <c r="A12" s="76" t="s">
        <v>561</v>
      </c>
      <c r="B12" s="67" t="s">
        <v>562</v>
      </c>
      <c r="C12" s="67" t="s">
        <v>17</v>
      </c>
      <c r="D12" s="69" t="s">
        <v>60</v>
      </c>
      <c r="E12" s="70" t="s">
        <v>19</v>
      </c>
      <c r="F12" s="14" t="s">
        <v>30</v>
      </c>
      <c r="G12" s="10">
        <v>2</v>
      </c>
      <c r="H12" s="11">
        <v>2</v>
      </c>
      <c r="I12" s="10">
        <v>0</v>
      </c>
      <c r="J12" s="11">
        <v>0</v>
      </c>
      <c r="K12" s="22">
        <f>G12+H12+I12+J12</f>
        <v>4</v>
      </c>
      <c r="L12" s="72" t="s">
        <v>428</v>
      </c>
      <c r="M12" s="72" t="s">
        <v>563</v>
      </c>
      <c r="N12" s="72" t="s">
        <v>547</v>
      </c>
      <c r="O12" s="69"/>
    </row>
    <row r="13" spans="1:15" x14ac:dyDescent="0.25">
      <c r="A13" s="76" t="s">
        <v>561</v>
      </c>
      <c r="B13" s="67" t="s">
        <v>564</v>
      </c>
      <c r="C13" s="67" t="s">
        <v>51</v>
      </c>
      <c r="D13" s="69" t="s">
        <v>60</v>
      </c>
      <c r="E13" s="68" t="s">
        <v>61</v>
      </c>
      <c r="F13" s="6" t="s">
        <v>20</v>
      </c>
      <c r="G13" s="10">
        <v>1</v>
      </c>
      <c r="H13" s="11">
        <v>1</v>
      </c>
      <c r="I13" s="10">
        <v>0</v>
      </c>
      <c r="J13" s="11">
        <v>0</v>
      </c>
      <c r="K13" s="22">
        <f>G13+H13+I13+J13</f>
        <v>2</v>
      </c>
      <c r="L13" s="72" t="s">
        <v>565</v>
      </c>
      <c r="M13" s="72" t="s">
        <v>566</v>
      </c>
      <c r="N13" s="72" t="s">
        <v>547</v>
      </c>
      <c r="O13" s="69"/>
    </row>
    <row r="14" spans="1:15" x14ac:dyDescent="0.25">
      <c r="A14" s="77" t="s">
        <v>567</v>
      </c>
      <c r="B14" s="67" t="s">
        <v>568</v>
      </c>
      <c r="C14" s="67" t="s">
        <v>17</v>
      </c>
      <c r="D14" s="69" t="s">
        <v>265</v>
      </c>
      <c r="E14" s="70" t="s">
        <v>19</v>
      </c>
      <c r="F14" s="14" t="s">
        <v>30</v>
      </c>
      <c r="G14" s="10">
        <v>7</v>
      </c>
      <c r="H14" s="11">
        <v>0</v>
      </c>
      <c r="I14" s="10">
        <v>0</v>
      </c>
      <c r="J14" s="11">
        <v>0</v>
      </c>
      <c r="K14" s="22">
        <f t="shared" ref="K14:K16" si="1">G14+H14+I14+J14</f>
        <v>7</v>
      </c>
      <c r="L14" s="72" t="s">
        <v>569</v>
      </c>
      <c r="M14" s="72" t="s">
        <v>570</v>
      </c>
      <c r="N14" s="72" t="s">
        <v>547</v>
      </c>
      <c r="O14" s="69"/>
    </row>
    <row r="15" spans="1:15" x14ac:dyDescent="0.25">
      <c r="A15" s="66" t="s">
        <v>571</v>
      </c>
      <c r="B15" s="67" t="s">
        <v>572</v>
      </c>
      <c r="C15" s="67" t="s">
        <v>17</v>
      </c>
      <c r="D15" s="69" t="s">
        <v>573</v>
      </c>
      <c r="E15" s="70" t="s">
        <v>19</v>
      </c>
      <c r="F15" s="14" t="s">
        <v>30</v>
      </c>
      <c r="G15" s="10">
        <v>1</v>
      </c>
      <c r="H15" s="11">
        <v>1</v>
      </c>
      <c r="I15" s="10">
        <v>0</v>
      </c>
      <c r="J15" s="11">
        <v>0</v>
      </c>
      <c r="K15" s="22">
        <f t="shared" si="1"/>
        <v>2</v>
      </c>
      <c r="L15" s="72" t="s">
        <v>574</v>
      </c>
      <c r="M15" s="72" t="s">
        <v>575</v>
      </c>
      <c r="N15" s="72" t="s">
        <v>542</v>
      </c>
      <c r="O15" s="69"/>
    </row>
    <row r="16" spans="1:15" ht="15.75" x14ac:dyDescent="0.25">
      <c r="A16" s="66" t="s">
        <v>571</v>
      </c>
      <c r="B16" s="67" t="s">
        <v>572</v>
      </c>
      <c r="C16" s="67" t="s">
        <v>17</v>
      </c>
      <c r="D16" s="69" t="s">
        <v>576</v>
      </c>
      <c r="E16" s="70" t="s">
        <v>19</v>
      </c>
      <c r="F16" s="14" t="s">
        <v>30</v>
      </c>
      <c r="G16" s="10">
        <v>1</v>
      </c>
      <c r="H16" s="11">
        <v>1</v>
      </c>
      <c r="I16" s="10">
        <v>0</v>
      </c>
      <c r="J16" s="11">
        <v>0</v>
      </c>
      <c r="K16" s="22">
        <f t="shared" si="1"/>
        <v>2</v>
      </c>
      <c r="L16" s="72" t="s">
        <v>577</v>
      </c>
      <c r="M16" s="72" t="s">
        <v>578</v>
      </c>
      <c r="N16" s="72" t="s">
        <v>547</v>
      </c>
      <c r="O16" s="79" t="s">
        <v>579</v>
      </c>
    </row>
    <row r="17" spans="1:15" ht="15.75" thickBot="1" x14ac:dyDescent="0.3">
      <c r="A17" s="73" t="s">
        <v>580</v>
      </c>
      <c r="B17" s="67" t="s">
        <v>581</v>
      </c>
      <c r="C17" s="67" t="s">
        <v>582</v>
      </c>
      <c r="D17" s="69" t="s">
        <v>583</v>
      </c>
      <c r="E17" s="67" t="s">
        <v>25</v>
      </c>
      <c r="F17" s="6" t="s">
        <v>20</v>
      </c>
      <c r="G17" s="10">
        <v>1</v>
      </c>
      <c r="H17" s="11">
        <v>0</v>
      </c>
      <c r="I17" s="10">
        <v>0</v>
      </c>
      <c r="J17" s="11">
        <v>0</v>
      </c>
      <c r="K17" s="22">
        <f>G17+H17+I17+J17</f>
        <v>1</v>
      </c>
      <c r="L17" s="72" t="s">
        <v>584</v>
      </c>
      <c r="M17" s="72" t="s">
        <v>585</v>
      </c>
      <c r="N17" s="72" t="s">
        <v>521</v>
      </c>
      <c r="O17" s="80" t="s">
        <v>586</v>
      </c>
    </row>
    <row r="18" spans="1:15" ht="15.75" thickTop="1" x14ac:dyDescent="0.25">
      <c r="A18" s="74" t="s">
        <v>587</v>
      </c>
      <c r="B18" s="67" t="s">
        <v>572</v>
      </c>
      <c r="C18" s="67" t="s">
        <v>17</v>
      </c>
      <c r="D18" s="69" t="s">
        <v>588</v>
      </c>
      <c r="E18" s="67" t="s">
        <v>25</v>
      </c>
      <c r="F18" s="14" t="s">
        <v>30</v>
      </c>
      <c r="G18" s="10">
        <v>1</v>
      </c>
      <c r="H18" s="11">
        <v>1</v>
      </c>
      <c r="I18" s="10">
        <v>0</v>
      </c>
      <c r="J18" s="11">
        <v>0</v>
      </c>
      <c r="K18" s="22">
        <f t="shared" ref="K18:K41" si="2">G18+H18+I18+J18</f>
        <v>2</v>
      </c>
      <c r="L18" s="72" t="s">
        <v>589</v>
      </c>
      <c r="M18" s="72" t="s">
        <v>590</v>
      </c>
      <c r="N18" s="72" t="s">
        <v>542</v>
      </c>
      <c r="O18" s="69"/>
    </row>
    <row r="19" spans="1:15" x14ac:dyDescent="0.25">
      <c r="A19" s="75" t="s">
        <v>591</v>
      </c>
      <c r="B19" s="67" t="s">
        <v>592</v>
      </c>
      <c r="C19" s="67" t="s">
        <v>125</v>
      </c>
      <c r="D19" s="69" t="s">
        <v>249</v>
      </c>
      <c r="E19" s="67" t="s">
        <v>25</v>
      </c>
      <c r="F19" s="14" t="s">
        <v>30</v>
      </c>
      <c r="G19" s="10">
        <v>1</v>
      </c>
      <c r="H19" s="11">
        <v>0</v>
      </c>
      <c r="I19" s="10">
        <v>0</v>
      </c>
      <c r="J19" s="11">
        <v>0</v>
      </c>
      <c r="K19" s="22">
        <f t="shared" si="2"/>
        <v>1</v>
      </c>
      <c r="L19" s="72" t="s">
        <v>593</v>
      </c>
      <c r="M19" s="72" t="s">
        <v>594</v>
      </c>
      <c r="N19" s="72" t="s">
        <v>542</v>
      </c>
      <c r="O19" s="69"/>
    </row>
    <row r="20" spans="1:15" x14ac:dyDescent="0.25">
      <c r="A20" s="75" t="s">
        <v>591</v>
      </c>
      <c r="B20" s="67" t="s">
        <v>592</v>
      </c>
      <c r="C20" s="67" t="s">
        <v>595</v>
      </c>
      <c r="D20" s="69" t="s">
        <v>249</v>
      </c>
      <c r="E20" s="67" t="s">
        <v>25</v>
      </c>
      <c r="F20" s="71" t="s">
        <v>306</v>
      </c>
      <c r="G20" s="10">
        <v>1</v>
      </c>
      <c r="H20" s="11">
        <v>0</v>
      </c>
      <c r="I20" s="10">
        <v>0</v>
      </c>
      <c r="J20" s="11">
        <v>0</v>
      </c>
      <c r="K20" s="22">
        <f t="shared" si="2"/>
        <v>1</v>
      </c>
      <c r="L20" s="72" t="s">
        <v>596</v>
      </c>
      <c r="M20" s="72" t="s">
        <v>597</v>
      </c>
      <c r="N20" s="72" t="s">
        <v>542</v>
      </c>
      <c r="O20" s="69"/>
    </row>
    <row r="21" spans="1:15" x14ac:dyDescent="0.25">
      <c r="A21" s="75" t="s">
        <v>591</v>
      </c>
      <c r="B21" s="67" t="s">
        <v>592</v>
      </c>
      <c r="C21" s="67" t="s">
        <v>305</v>
      </c>
      <c r="D21" s="69" t="s">
        <v>249</v>
      </c>
      <c r="E21" s="70" t="s">
        <v>19</v>
      </c>
      <c r="F21" s="71" t="s">
        <v>306</v>
      </c>
      <c r="G21" s="10">
        <v>1</v>
      </c>
      <c r="H21" s="11">
        <v>0</v>
      </c>
      <c r="I21" s="10">
        <v>0</v>
      </c>
      <c r="J21" s="11">
        <v>0</v>
      </c>
      <c r="K21" s="22">
        <f t="shared" si="2"/>
        <v>1</v>
      </c>
      <c r="L21" s="72" t="s">
        <v>598</v>
      </c>
      <c r="M21" s="72" t="s">
        <v>599</v>
      </c>
      <c r="N21" s="72" t="s">
        <v>542</v>
      </c>
      <c r="O21" s="69"/>
    </row>
    <row r="22" spans="1:15" x14ac:dyDescent="0.25">
      <c r="A22" s="75" t="s">
        <v>591</v>
      </c>
      <c r="B22" s="67" t="s">
        <v>592</v>
      </c>
      <c r="C22" s="67" t="s">
        <v>600</v>
      </c>
      <c r="D22" s="69" t="s">
        <v>249</v>
      </c>
      <c r="E22" s="70" t="s">
        <v>19</v>
      </c>
      <c r="F22" s="71" t="s">
        <v>306</v>
      </c>
      <c r="G22" s="10">
        <v>1</v>
      </c>
      <c r="H22" s="11">
        <v>0</v>
      </c>
      <c r="I22" s="10">
        <v>0</v>
      </c>
      <c r="J22" s="11">
        <v>0</v>
      </c>
      <c r="K22" s="22">
        <f t="shared" si="2"/>
        <v>1</v>
      </c>
      <c r="L22" s="72" t="s">
        <v>601</v>
      </c>
      <c r="M22" s="72" t="s">
        <v>602</v>
      </c>
      <c r="N22" s="72" t="s">
        <v>542</v>
      </c>
      <c r="O22" s="81" t="s">
        <v>603</v>
      </c>
    </row>
    <row r="23" spans="1:15" x14ac:dyDescent="0.25">
      <c r="A23" s="75" t="s">
        <v>591</v>
      </c>
      <c r="B23" s="67" t="s">
        <v>592</v>
      </c>
      <c r="C23" s="67" t="s">
        <v>604</v>
      </c>
      <c r="D23" s="69" t="s">
        <v>249</v>
      </c>
      <c r="E23" s="70" t="s">
        <v>19</v>
      </c>
      <c r="F23" s="71" t="s">
        <v>306</v>
      </c>
      <c r="G23" s="10">
        <v>1</v>
      </c>
      <c r="H23" s="11">
        <v>0</v>
      </c>
      <c r="I23" s="10">
        <v>0</v>
      </c>
      <c r="J23" s="11">
        <v>0</v>
      </c>
      <c r="K23" s="22">
        <f t="shared" si="2"/>
        <v>1</v>
      </c>
      <c r="L23" s="72" t="s">
        <v>605</v>
      </c>
      <c r="M23" s="72" t="s">
        <v>606</v>
      </c>
      <c r="N23" s="72" t="s">
        <v>542</v>
      </c>
      <c r="O23" s="69"/>
    </row>
    <row r="24" spans="1:15" x14ac:dyDescent="0.25">
      <c r="A24" s="75" t="s">
        <v>591</v>
      </c>
      <c r="B24" s="67" t="s">
        <v>592</v>
      </c>
      <c r="C24" s="67" t="s">
        <v>607</v>
      </c>
      <c r="D24" s="69" t="s">
        <v>249</v>
      </c>
      <c r="E24" s="67" t="s">
        <v>25</v>
      </c>
      <c r="F24" s="71" t="s">
        <v>306</v>
      </c>
      <c r="G24" s="10">
        <v>1</v>
      </c>
      <c r="H24" s="11">
        <v>0</v>
      </c>
      <c r="I24" s="10">
        <v>0</v>
      </c>
      <c r="J24" s="11">
        <v>0</v>
      </c>
      <c r="K24" s="22">
        <f t="shared" si="2"/>
        <v>1</v>
      </c>
      <c r="L24" s="72" t="s">
        <v>608</v>
      </c>
      <c r="M24" s="72" t="s">
        <v>609</v>
      </c>
      <c r="N24" s="72" t="s">
        <v>542</v>
      </c>
      <c r="O24" s="69"/>
    </row>
    <row r="25" spans="1:15" x14ac:dyDescent="0.25">
      <c r="A25" s="75" t="s">
        <v>591</v>
      </c>
      <c r="B25" s="67" t="s">
        <v>592</v>
      </c>
      <c r="C25" s="67" t="s">
        <v>610</v>
      </c>
      <c r="D25" s="69" t="s">
        <v>249</v>
      </c>
      <c r="E25" s="70" t="s">
        <v>19</v>
      </c>
      <c r="F25" s="71" t="s">
        <v>306</v>
      </c>
      <c r="G25" s="10">
        <v>1</v>
      </c>
      <c r="H25" s="11">
        <v>0</v>
      </c>
      <c r="I25" s="10">
        <v>0</v>
      </c>
      <c r="J25" s="11">
        <v>0</v>
      </c>
      <c r="K25" s="22">
        <f t="shared" si="2"/>
        <v>1</v>
      </c>
      <c r="L25" s="72" t="s">
        <v>611</v>
      </c>
      <c r="M25" s="72" t="s">
        <v>612</v>
      </c>
      <c r="N25" s="72" t="s">
        <v>542</v>
      </c>
      <c r="O25" s="82" t="s">
        <v>613</v>
      </c>
    </row>
    <row r="26" spans="1:15" x14ac:dyDescent="0.25">
      <c r="A26" s="76" t="s">
        <v>614</v>
      </c>
      <c r="B26" s="67" t="s">
        <v>572</v>
      </c>
      <c r="C26" s="67" t="s">
        <v>125</v>
      </c>
      <c r="D26" s="69" t="s">
        <v>615</v>
      </c>
      <c r="E26" s="70" t="s">
        <v>19</v>
      </c>
      <c r="F26" s="14" t="s">
        <v>30</v>
      </c>
      <c r="G26" s="10">
        <v>6</v>
      </c>
      <c r="H26" s="11">
        <v>0</v>
      </c>
      <c r="I26" s="10">
        <v>0</v>
      </c>
      <c r="J26" s="11">
        <v>0</v>
      </c>
      <c r="K26" s="22">
        <f t="shared" si="2"/>
        <v>6</v>
      </c>
      <c r="L26" s="72" t="s">
        <v>616</v>
      </c>
      <c r="M26" s="72" t="s">
        <v>617</v>
      </c>
      <c r="N26" s="72" t="s">
        <v>547</v>
      </c>
      <c r="O26" s="69"/>
    </row>
    <row r="27" spans="1:15" x14ac:dyDescent="0.25">
      <c r="A27" s="77" t="s">
        <v>618</v>
      </c>
      <c r="B27" s="67" t="s">
        <v>572</v>
      </c>
      <c r="C27" s="67" t="s">
        <v>125</v>
      </c>
      <c r="D27" s="69" t="s">
        <v>103</v>
      </c>
      <c r="E27" s="70" t="s">
        <v>19</v>
      </c>
      <c r="F27" s="14" t="s">
        <v>30</v>
      </c>
      <c r="G27" s="10">
        <v>6</v>
      </c>
      <c r="H27" s="11">
        <v>0</v>
      </c>
      <c r="I27" s="10">
        <v>0</v>
      </c>
      <c r="J27" s="11">
        <v>0</v>
      </c>
      <c r="K27" s="22">
        <f t="shared" si="2"/>
        <v>6</v>
      </c>
      <c r="L27" s="72" t="s">
        <v>262</v>
      </c>
      <c r="M27" s="72" t="s">
        <v>263</v>
      </c>
      <c r="N27" s="72" t="s">
        <v>547</v>
      </c>
      <c r="O27" s="69"/>
    </row>
    <row r="28" spans="1:15" x14ac:dyDescent="0.25">
      <c r="A28" s="66" t="s">
        <v>619</v>
      </c>
      <c r="B28" s="67" t="s">
        <v>572</v>
      </c>
      <c r="C28" s="67" t="s">
        <v>17</v>
      </c>
      <c r="D28" s="69" t="s">
        <v>620</v>
      </c>
      <c r="E28" s="70" t="s">
        <v>19</v>
      </c>
      <c r="F28" s="14" t="s">
        <v>30</v>
      </c>
      <c r="G28" s="10">
        <v>1</v>
      </c>
      <c r="H28" s="11">
        <v>1</v>
      </c>
      <c r="I28" s="10">
        <v>0</v>
      </c>
      <c r="J28" s="11">
        <v>0</v>
      </c>
      <c r="K28" s="22">
        <f t="shared" si="2"/>
        <v>2</v>
      </c>
      <c r="L28" s="72" t="s">
        <v>621</v>
      </c>
      <c r="M28" s="72" t="s">
        <v>622</v>
      </c>
      <c r="N28" s="72" t="s">
        <v>542</v>
      </c>
      <c r="O28" s="69"/>
    </row>
    <row r="29" spans="1:15" x14ac:dyDescent="0.25">
      <c r="A29" s="73" t="s">
        <v>623</v>
      </c>
      <c r="B29" s="67" t="s">
        <v>592</v>
      </c>
      <c r="C29" s="67" t="s">
        <v>305</v>
      </c>
      <c r="D29" s="69" t="s">
        <v>265</v>
      </c>
      <c r="E29" s="70" t="s">
        <v>19</v>
      </c>
      <c r="F29" s="71" t="s">
        <v>306</v>
      </c>
      <c r="G29" s="10">
        <v>1</v>
      </c>
      <c r="H29" s="11">
        <v>0</v>
      </c>
      <c r="I29" s="10">
        <v>0</v>
      </c>
      <c r="J29" s="11">
        <v>0</v>
      </c>
      <c r="K29" s="22">
        <f t="shared" si="2"/>
        <v>1</v>
      </c>
      <c r="L29" s="72" t="s">
        <v>624</v>
      </c>
      <c r="M29" s="72" t="s">
        <v>625</v>
      </c>
      <c r="N29" s="72" t="s">
        <v>521</v>
      </c>
      <c r="O29" s="69"/>
    </row>
    <row r="30" spans="1:15" x14ac:dyDescent="0.25">
      <c r="A30" s="73" t="s">
        <v>623</v>
      </c>
      <c r="B30" s="67" t="s">
        <v>592</v>
      </c>
      <c r="C30" s="67" t="s">
        <v>305</v>
      </c>
      <c r="D30" s="69" t="s">
        <v>126</v>
      </c>
      <c r="E30" s="70" t="s">
        <v>19</v>
      </c>
      <c r="F30" s="71" t="s">
        <v>306</v>
      </c>
      <c r="G30" s="10">
        <v>1</v>
      </c>
      <c r="H30" s="11">
        <v>0</v>
      </c>
      <c r="I30" s="10">
        <v>0</v>
      </c>
      <c r="J30" s="11">
        <v>0</v>
      </c>
      <c r="K30" s="22">
        <f t="shared" si="2"/>
        <v>1</v>
      </c>
      <c r="L30" s="72" t="s">
        <v>626</v>
      </c>
      <c r="M30" s="72" t="s">
        <v>627</v>
      </c>
      <c r="N30" s="72" t="s">
        <v>521</v>
      </c>
      <c r="O30" s="69"/>
    </row>
    <row r="31" spans="1:15" x14ac:dyDescent="0.25">
      <c r="A31" s="74" t="s">
        <v>628</v>
      </c>
      <c r="B31" s="67" t="s">
        <v>592</v>
      </c>
      <c r="C31" s="67" t="s">
        <v>305</v>
      </c>
      <c r="D31" s="69" t="s">
        <v>222</v>
      </c>
      <c r="E31" s="70" t="s">
        <v>19</v>
      </c>
      <c r="F31" s="71" t="s">
        <v>306</v>
      </c>
      <c r="G31" s="10">
        <v>1</v>
      </c>
      <c r="H31" s="11">
        <v>0</v>
      </c>
      <c r="I31" s="10">
        <v>0</v>
      </c>
      <c r="J31" s="11">
        <v>0</v>
      </c>
      <c r="K31" s="22">
        <f t="shared" si="2"/>
        <v>1</v>
      </c>
      <c r="L31" s="72" t="s">
        <v>629</v>
      </c>
      <c r="M31" s="72" t="s">
        <v>630</v>
      </c>
      <c r="N31" s="72" t="s">
        <v>521</v>
      </c>
      <c r="O31" s="69"/>
    </row>
    <row r="32" spans="1:15" x14ac:dyDescent="0.25">
      <c r="A32" s="74" t="s">
        <v>628</v>
      </c>
      <c r="B32" s="67" t="s">
        <v>592</v>
      </c>
      <c r="C32" s="67" t="s">
        <v>305</v>
      </c>
      <c r="D32" s="69" t="s">
        <v>81</v>
      </c>
      <c r="E32" s="70" t="s">
        <v>19</v>
      </c>
      <c r="F32" s="71" t="s">
        <v>306</v>
      </c>
      <c r="G32" s="10">
        <v>1</v>
      </c>
      <c r="H32" s="11">
        <v>0</v>
      </c>
      <c r="I32" s="10">
        <v>0</v>
      </c>
      <c r="J32" s="11">
        <v>0</v>
      </c>
      <c r="K32" s="22">
        <f t="shared" si="2"/>
        <v>1</v>
      </c>
      <c r="L32" s="72" t="s">
        <v>535</v>
      </c>
      <c r="M32" s="72" t="s">
        <v>536</v>
      </c>
      <c r="N32" s="72" t="s">
        <v>521</v>
      </c>
      <c r="O32" s="69"/>
    </row>
    <row r="33" spans="1:15" x14ac:dyDescent="0.25">
      <c r="A33" s="74" t="s">
        <v>628</v>
      </c>
      <c r="B33" s="67" t="s">
        <v>592</v>
      </c>
      <c r="C33" s="67" t="s">
        <v>595</v>
      </c>
      <c r="D33" s="69" t="s">
        <v>226</v>
      </c>
      <c r="E33" s="70" t="s">
        <v>19</v>
      </c>
      <c r="F33" s="71" t="s">
        <v>306</v>
      </c>
      <c r="G33" s="10">
        <v>2</v>
      </c>
      <c r="H33" s="11">
        <v>0</v>
      </c>
      <c r="I33" s="10">
        <v>0</v>
      </c>
      <c r="J33" s="11">
        <v>0</v>
      </c>
      <c r="K33" s="22">
        <f t="shared" si="2"/>
        <v>2</v>
      </c>
      <c r="L33" s="72" t="s">
        <v>631</v>
      </c>
      <c r="M33" s="72" t="s">
        <v>632</v>
      </c>
      <c r="N33" s="72" t="s">
        <v>521</v>
      </c>
      <c r="O33" s="69"/>
    </row>
    <row r="34" spans="1:15" x14ac:dyDescent="0.25">
      <c r="A34" s="74" t="s">
        <v>628</v>
      </c>
      <c r="B34" s="67" t="s">
        <v>592</v>
      </c>
      <c r="C34" s="67" t="s">
        <v>595</v>
      </c>
      <c r="D34" s="69" t="s">
        <v>198</v>
      </c>
      <c r="E34" s="70" t="s">
        <v>19</v>
      </c>
      <c r="F34" s="71" t="s">
        <v>306</v>
      </c>
      <c r="G34" s="10">
        <v>2</v>
      </c>
      <c r="H34" s="11">
        <v>0</v>
      </c>
      <c r="I34" s="10">
        <v>0</v>
      </c>
      <c r="J34" s="11">
        <v>0</v>
      </c>
      <c r="K34" s="22">
        <f t="shared" si="2"/>
        <v>2</v>
      </c>
      <c r="L34" s="72" t="s">
        <v>633</v>
      </c>
      <c r="M34" s="72" t="s">
        <v>634</v>
      </c>
      <c r="N34" s="72" t="s">
        <v>521</v>
      </c>
      <c r="O34" s="69"/>
    </row>
    <row r="35" spans="1:15" x14ac:dyDescent="0.25">
      <c r="A35" s="74" t="s">
        <v>628</v>
      </c>
      <c r="B35" s="67" t="s">
        <v>592</v>
      </c>
      <c r="C35" s="67" t="s">
        <v>595</v>
      </c>
      <c r="D35" s="69" t="s">
        <v>269</v>
      </c>
      <c r="E35" s="70" t="s">
        <v>19</v>
      </c>
      <c r="F35" s="71" t="s">
        <v>306</v>
      </c>
      <c r="G35" s="10">
        <v>2</v>
      </c>
      <c r="H35" s="11">
        <v>0</v>
      </c>
      <c r="I35" s="10">
        <v>0</v>
      </c>
      <c r="J35" s="11">
        <v>0</v>
      </c>
      <c r="K35" s="22">
        <f t="shared" si="2"/>
        <v>2</v>
      </c>
      <c r="L35" s="72" t="s">
        <v>635</v>
      </c>
      <c r="M35" s="72" t="s">
        <v>636</v>
      </c>
      <c r="N35" s="72" t="s">
        <v>521</v>
      </c>
      <c r="O35" s="69"/>
    </row>
    <row r="36" spans="1:15" x14ac:dyDescent="0.25">
      <c r="A36" s="74" t="s">
        <v>628</v>
      </c>
      <c r="B36" s="67" t="s">
        <v>592</v>
      </c>
      <c r="C36" s="67" t="s">
        <v>595</v>
      </c>
      <c r="D36" s="69" t="s">
        <v>130</v>
      </c>
      <c r="E36" s="70" t="s">
        <v>19</v>
      </c>
      <c r="F36" s="71" t="s">
        <v>306</v>
      </c>
      <c r="G36" s="10">
        <v>2</v>
      </c>
      <c r="H36" s="11">
        <v>0</v>
      </c>
      <c r="I36" s="10">
        <v>0</v>
      </c>
      <c r="J36" s="11">
        <v>0</v>
      </c>
      <c r="K36" s="22">
        <f t="shared" si="2"/>
        <v>2</v>
      </c>
      <c r="L36" s="72" t="s">
        <v>637</v>
      </c>
      <c r="M36" s="72" t="s">
        <v>638</v>
      </c>
      <c r="N36" s="72" t="s">
        <v>521</v>
      </c>
      <c r="O36" s="69"/>
    </row>
    <row r="37" spans="1:15" x14ac:dyDescent="0.25">
      <c r="A37" s="74" t="s">
        <v>628</v>
      </c>
      <c r="B37" s="67" t="s">
        <v>592</v>
      </c>
      <c r="C37" s="67" t="s">
        <v>305</v>
      </c>
      <c r="D37" s="69" t="s">
        <v>287</v>
      </c>
      <c r="E37" s="70" t="s">
        <v>19</v>
      </c>
      <c r="F37" s="71" t="s">
        <v>306</v>
      </c>
      <c r="G37" s="10">
        <v>1</v>
      </c>
      <c r="H37" s="11">
        <v>0</v>
      </c>
      <c r="I37" s="10">
        <v>1</v>
      </c>
      <c r="J37" s="11">
        <v>0</v>
      </c>
      <c r="K37" s="22">
        <f t="shared" si="2"/>
        <v>2</v>
      </c>
      <c r="L37" s="72" t="s">
        <v>639</v>
      </c>
      <c r="M37" s="72" t="s">
        <v>640</v>
      </c>
      <c r="N37" s="72" t="s">
        <v>521</v>
      </c>
      <c r="O37" s="69"/>
    </row>
    <row r="38" spans="1:15" x14ac:dyDescent="0.25">
      <c r="A38" s="74" t="s">
        <v>628</v>
      </c>
      <c r="B38" s="67" t="s">
        <v>592</v>
      </c>
      <c r="C38" s="67" t="s">
        <v>305</v>
      </c>
      <c r="D38" s="69" t="s">
        <v>187</v>
      </c>
      <c r="E38" s="70" t="s">
        <v>19</v>
      </c>
      <c r="F38" s="71" t="s">
        <v>306</v>
      </c>
      <c r="G38" s="10">
        <v>1</v>
      </c>
      <c r="H38" s="11">
        <v>0</v>
      </c>
      <c r="I38" s="10">
        <v>1</v>
      </c>
      <c r="J38" s="11">
        <v>0</v>
      </c>
      <c r="K38" s="22">
        <f t="shared" si="2"/>
        <v>2</v>
      </c>
      <c r="L38" s="72" t="s">
        <v>641</v>
      </c>
      <c r="M38" s="72" t="s">
        <v>642</v>
      </c>
      <c r="N38" s="72" t="s">
        <v>521</v>
      </c>
      <c r="O38" s="69"/>
    </row>
    <row r="39" spans="1:15" x14ac:dyDescent="0.25">
      <c r="A39" s="74" t="s">
        <v>628</v>
      </c>
      <c r="B39" s="67" t="s">
        <v>592</v>
      </c>
      <c r="C39" s="67" t="s">
        <v>305</v>
      </c>
      <c r="D39" s="69" t="s">
        <v>95</v>
      </c>
      <c r="E39" s="70" t="s">
        <v>19</v>
      </c>
      <c r="F39" s="71" t="s">
        <v>306</v>
      </c>
      <c r="G39" s="10">
        <v>1</v>
      </c>
      <c r="H39" s="11">
        <v>0</v>
      </c>
      <c r="I39" s="10">
        <v>1</v>
      </c>
      <c r="J39" s="11">
        <v>0</v>
      </c>
      <c r="K39" s="22">
        <f t="shared" si="2"/>
        <v>2</v>
      </c>
      <c r="L39" s="72" t="s">
        <v>519</v>
      </c>
      <c r="M39" s="72" t="s">
        <v>520</v>
      </c>
      <c r="N39" s="72" t="s">
        <v>521</v>
      </c>
      <c r="O39" s="69"/>
    </row>
    <row r="40" spans="1:15" x14ac:dyDescent="0.25">
      <c r="A40" s="74" t="s">
        <v>628</v>
      </c>
      <c r="B40" s="67" t="s">
        <v>592</v>
      </c>
      <c r="C40" s="67" t="s">
        <v>305</v>
      </c>
      <c r="D40" s="69" t="s">
        <v>276</v>
      </c>
      <c r="E40" s="70" t="s">
        <v>19</v>
      </c>
      <c r="F40" s="71" t="s">
        <v>306</v>
      </c>
      <c r="G40" s="10">
        <v>1</v>
      </c>
      <c r="H40" s="11">
        <v>0</v>
      </c>
      <c r="I40" s="10">
        <v>1</v>
      </c>
      <c r="J40" s="11">
        <v>0</v>
      </c>
      <c r="K40" s="22">
        <f t="shared" si="2"/>
        <v>2</v>
      </c>
      <c r="L40" s="72" t="s">
        <v>643</v>
      </c>
      <c r="M40" s="72" t="s">
        <v>644</v>
      </c>
      <c r="N40" s="72" t="s">
        <v>521</v>
      </c>
      <c r="O40" s="69"/>
    </row>
    <row r="41" spans="1:15" x14ac:dyDescent="0.25">
      <c r="A41" s="75" t="s">
        <v>645</v>
      </c>
      <c r="B41" s="67" t="s">
        <v>592</v>
      </c>
      <c r="C41" s="67" t="s">
        <v>305</v>
      </c>
      <c r="D41" s="69" t="s">
        <v>158</v>
      </c>
      <c r="E41" s="70" t="s">
        <v>19</v>
      </c>
      <c r="F41" s="71" t="s">
        <v>306</v>
      </c>
      <c r="G41" s="10">
        <v>1</v>
      </c>
      <c r="H41" s="11">
        <v>0</v>
      </c>
      <c r="I41" s="10">
        <v>1</v>
      </c>
      <c r="J41" s="11">
        <v>0</v>
      </c>
      <c r="K41" s="22">
        <f t="shared" si="2"/>
        <v>2</v>
      </c>
      <c r="L41" s="72" t="s">
        <v>646</v>
      </c>
      <c r="M41" s="72" t="s">
        <v>647</v>
      </c>
      <c r="N41" s="72" t="s">
        <v>521</v>
      </c>
      <c r="O41" s="69"/>
    </row>
    <row r="42" spans="1:15" x14ac:dyDescent="0.25">
      <c r="A42" s="75" t="s">
        <v>645</v>
      </c>
      <c r="B42" s="67" t="s">
        <v>592</v>
      </c>
      <c r="C42" s="67" t="s">
        <v>305</v>
      </c>
      <c r="D42" s="69" t="s">
        <v>648</v>
      </c>
      <c r="E42" s="70" t="s">
        <v>19</v>
      </c>
      <c r="F42" s="71" t="s">
        <v>306</v>
      </c>
      <c r="G42" s="10">
        <v>1</v>
      </c>
      <c r="H42" s="11">
        <v>0</v>
      </c>
      <c r="I42" s="10">
        <v>1</v>
      </c>
      <c r="J42" s="11">
        <v>0</v>
      </c>
      <c r="K42" s="22">
        <f>G42+H42+I42+J42</f>
        <v>2</v>
      </c>
      <c r="L42" s="72" t="s">
        <v>649</v>
      </c>
      <c r="M42" s="72" t="s">
        <v>650</v>
      </c>
      <c r="N42" s="72" t="s">
        <v>521</v>
      </c>
      <c r="O42" s="69"/>
    </row>
    <row r="43" spans="1:15" x14ac:dyDescent="0.25">
      <c r="A43" s="74" t="s">
        <v>652</v>
      </c>
      <c r="B43" s="67" t="s">
        <v>592</v>
      </c>
      <c r="C43" s="67" t="s">
        <v>595</v>
      </c>
      <c r="D43" s="69" t="s">
        <v>653</v>
      </c>
      <c r="E43" s="70"/>
      <c r="F43" s="71" t="s">
        <v>306</v>
      </c>
      <c r="G43" s="10">
        <v>1</v>
      </c>
      <c r="H43" s="11">
        <v>0</v>
      </c>
      <c r="I43" s="10">
        <v>1</v>
      </c>
      <c r="J43" s="11">
        <v>0</v>
      </c>
      <c r="K43" s="22">
        <f t="shared" ref="K43:K54" si="3">G43+H43+I43+J43</f>
        <v>2</v>
      </c>
      <c r="L43" s="83"/>
      <c r="M43" s="83" t="s">
        <v>654</v>
      </c>
      <c r="N43" s="72" t="s">
        <v>521</v>
      </c>
      <c r="O43" s="84" t="s">
        <v>651</v>
      </c>
    </row>
    <row r="44" spans="1:15" x14ac:dyDescent="0.25">
      <c r="A44" s="74" t="s">
        <v>652</v>
      </c>
      <c r="B44" s="67" t="s">
        <v>592</v>
      </c>
      <c r="C44" s="67" t="s">
        <v>595</v>
      </c>
      <c r="D44" s="69" t="s">
        <v>655</v>
      </c>
      <c r="E44" s="70"/>
      <c r="F44" s="71" t="s">
        <v>306</v>
      </c>
      <c r="G44" s="10">
        <v>1</v>
      </c>
      <c r="H44" s="11">
        <v>0</v>
      </c>
      <c r="I44" s="10">
        <v>1</v>
      </c>
      <c r="J44" s="11">
        <v>0</v>
      </c>
      <c r="K44" s="22">
        <f t="shared" si="3"/>
        <v>2</v>
      </c>
      <c r="L44" s="83"/>
      <c r="M44" s="83" t="s">
        <v>656</v>
      </c>
      <c r="N44" s="72" t="s">
        <v>521</v>
      </c>
      <c r="O44" s="84" t="s">
        <v>651</v>
      </c>
    </row>
    <row r="45" spans="1:15" x14ac:dyDescent="0.25">
      <c r="A45" s="74" t="s">
        <v>652</v>
      </c>
      <c r="B45" s="67" t="s">
        <v>592</v>
      </c>
      <c r="C45" s="67" t="s">
        <v>305</v>
      </c>
      <c r="D45" s="69" t="s">
        <v>657</v>
      </c>
      <c r="E45" s="70"/>
      <c r="F45" s="71" t="s">
        <v>306</v>
      </c>
      <c r="G45" s="10">
        <v>1</v>
      </c>
      <c r="H45" s="11">
        <v>0</v>
      </c>
      <c r="I45" s="10">
        <v>1</v>
      </c>
      <c r="J45" s="11">
        <v>0</v>
      </c>
      <c r="K45" s="22">
        <f t="shared" si="3"/>
        <v>2</v>
      </c>
      <c r="L45" s="83"/>
      <c r="M45" s="83" t="s">
        <v>658</v>
      </c>
      <c r="N45" s="72" t="s">
        <v>521</v>
      </c>
      <c r="O45" s="84" t="s">
        <v>651</v>
      </c>
    </row>
    <row r="46" spans="1:15" x14ac:dyDescent="0.25">
      <c r="A46" s="75" t="s">
        <v>659</v>
      </c>
      <c r="B46" s="67" t="s">
        <v>660</v>
      </c>
      <c r="C46" s="67" t="s">
        <v>661</v>
      </c>
      <c r="D46" s="69" t="s">
        <v>107</v>
      </c>
      <c r="E46" s="67" t="s">
        <v>25</v>
      </c>
      <c r="F46" s="14" t="s">
        <v>30</v>
      </c>
      <c r="G46" s="10">
        <v>2</v>
      </c>
      <c r="H46" s="11">
        <v>0</v>
      </c>
      <c r="I46" s="10">
        <v>0</v>
      </c>
      <c r="J46" s="11">
        <v>0</v>
      </c>
      <c r="K46" s="22">
        <f t="shared" si="3"/>
        <v>2</v>
      </c>
      <c r="L46" s="72" t="s">
        <v>662</v>
      </c>
      <c r="M46" s="72" t="s">
        <v>663</v>
      </c>
      <c r="N46" s="72" t="s">
        <v>521</v>
      </c>
      <c r="O46" s="69"/>
    </row>
    <row r="47" spans="1:15" x14ac:dyDescent="0.25">
      <c r="A47" s="75" t="s">
        <v>659</v>
      </c>
      <c r="B47" s="67" t="s">
        <v>660</v>
      </c>
      <c r="C47" s="67" t="s">
        <v>661</v>
      </c>
      <c r="D47" s="69" t="s">
        <v>107</v>
      </c>
      <c r="E47" s="70" t="s">
        <v>19</v>
      </c>
      <c r="F47" s="14" t="s">
        <v>30</v>
      </c>
      <c r="G47" s="10">
        <v>2</v>
      </c>
      <c r="H47" s="11">
        <v>0</v>
      </c>
      <c r="I47" s="10">
        <v>0</v>
      </c>
      <c r="J47" s="11">
        <v>0</v>
      </c>
      <c r="K47" s="22">
        <f t="shared" si="3"/>
        <v>2</v>
      </c>
      <c r="L47" s="85" t="s">
        <v>664</v>
      </c>
      <c r="M47" s="85" t="s">
        <v>665</v>
      </c>
      <c r="N47" s="72" t="s">
        <v>521</v>
      </c>
      <c r="O47" s="69"/>
    </row>
    <row r="48" spans="1:15" x14ac:dyDescent="0.25">
      <c r="A48" s="75" t="s">
        <v>659</v>
      </c>
      <c r="B48" s="67" t="s">
        <v>660</v>
      </c>
      <c r="C48" s="67" t="s">
        <v>661</v>
      </c>
      <c r="D48" s="69" t="s">
        <v>107</v>
      </c>
      <c r="E48" s="70" t="s">
        <v>116</v>
      </c>
      <c r="F48" s="14" t="s">
        <v>30</v>
      </c>
      <c r="G48" s="10">
        <v>2</v>
      </c>
      <c r="H48" s="11">
        <v>0</v>
      </c>
      <c r="I48" s="10">
        <v>0</v>
      </c>
      <c r="J48" s="11">
        <v>0</v>
      </c>
      <c r="K48" s="22">
        <f t="shared" si="3"/>
        <v>2</v>
      </c>
      <c r="L48" s="72" t="s">
        <v>666</v>
      </c>
      <c r="M48" s="72" t="s">
        <v>667</v>
      </c>
      <c r="N48" s="72" t="s">
        <v>521</v>
      </c>
      <c r="O48" s="69"/>
    </row>
    <row r="49" spans="1:15" x14ac:dyDescent="0.25">
      <c r="A49" s="75" t="s">
        <v>659</v>
      </c>
      <c r="B49" s="67" t="s">
        <v>660</v>
      </c>
      <c r="C49" s="67" t="s">
        <v>661</v>
      </c>
      <c r="D49" s="69" t="s">
        <v>222</v>
      </c>
      <c r="E49" s="67" t="s">
        <v>668</v>
      </c>
      <c r="F49" s="14" t="s">
        <v>30</v>
      </c>
      <c r="G49" s="10">
        <v>2</v>
      </c>
      <c r="H49" s="11">
        <v>0</v>
      </c>
      <c r="I49" s="10">
        <v>0</v>
      </c>
      <c r="J49" s="11">
        <v>0</v>
      </c>
      <c r="K49" s="22">
        <f t="shared" si="3"/>
        <v>2</v>
      </c>
      <c r="L49" s="85" t="s">
        <v>669</v>
      </c>
      <c r="M49" s="85" t="s">
        <v>670</v>
      </c>
      <c r="N49" s="72" t="s">
        <v>521</v>
      </c>
      <c r="O49" s="69"/>
    </row>
    <row r="50" spans="1:15" x14ac:dyDescent="0.25">
      <c r="A50" s="75" t="s">
        <v>659</v>
      </c>
      <c r="B50" s="67" t="s">
        <v>660</v>
      </c>
      <c r="C50" s="67" t="s">
        <v>661</v>
      </c>
      <c r="D50" s="69" t="s">
        <v>222</v>
      </c>
      <c r="E50" s="67" t="s">
        <v>43</v>
      </c>
      <c r="F50" s="14" t="s">
        <v>30</v>
      </c>
      <c r="G50" s="10">
        <v>2</v>
      </c>
      <c r="H50" s="11">
        <v>0</v>
      </c>
      <c r="I50" s="10">
        <v>0</v>
      </c>
      <c r="J50" s="11">
        <v>0</v>
      </c>
      <c r="K50" s="22">
        <f t="shared" si="3"/>
        <v>2</v>
      </c>
      <c r="L50" s="72" t="s">
        <v>671</v>
      </c>
      <c r="M50" s="72" t="s">
        <v>672</v>
      </c>
      <c r="N50" s="72" t="s">
        <v>521</v>
      </c>
      <c r="O50" s="69"/>
    </row>
    <row r="51" spans="1:15" x14ac:dyDescent="0.25">
      <c r="A51" s="75" t="s">
        <v>659</v>
      </c>
      <c r="B51" s="67" t="s">
        <v>660</v>
      </c>
      <c r="C51" s="67" t="s">
        <v>661</v>
      </c>
      <c r="D51" s="69" t="s">
        <v>222</v>
      </c>
      <c r="E51" s="70" t="s">
        <v>82</v>
      </c>
      <c r="F51" s="14" t="s">
        <v>30</v>
      </c>
      <c r="G51" s="10">
        <v>2</v>
      </c>
      <c r="H51" s="11">
        <v>0</v>
      </c>
      <c r="I51" s="10">
        <v>0</v>
      </c>
      <c r="J51" s="11">
        <v>0</v>
      </c>
      <c r="K51" s="22">
        <f t="shared" si="3"/>
        <v>2</v>
      </c>
      <c r="L51" s="72" t="s">
        <v>673</v>
      </c>
      <c r="M51" s="72" t="s">
        <v>674</v>
      </c>
      <c r="N51" s="72" t="s">
        <v>521</v>
      </c>
      <c r="O51" s="69"/>
    </row>
    <row r="52" spans="1:15" x14ac:dyDescent="0.25">
      <c r="A52" s="75" t="s">
        <v>659</v>
      </c>
      <c r="B52" s="67" t="s">
        <v>660</v>
      </c>
      <c r="C52" s="67" t="s">
        <v>661</v>
      </c>
      <c r="D52" s="69" t="s">
        <v>103</v>
      </c>
      <c r="E52" s="68" t="s">
        <v>61</v>
      </c>
      <c r="F52" s="14" t="s">
        <v>30</v>
      </c>
      <c r="G52" s="10">
        <v>2</v>
      </c>
      <c r="H52" s="11">
        <v>0</v>
      </c>
      <c r="I52" s="10">
        <v>0</v>
      </c>
      <c r="J52" s="11">
        <v>0</v>
      </c>
      <c r="K52" s="22">
        <f t="shared" si="3"/>
        <v>2</v>
      </c>
      <c r="L52" s="72" t="s">
        <v>675</v>
      </c>
      <c r="M52" s="72" t="s">
        <v>676</v>
      </c>
      <c r="N52" s="72" t="s">
        <v>521</v>
      </c>
      <c r="O52" s="69"/>
    </row>
    <row r="53" spans="1:15" x14ac:dyDescent="0.25">
      <c r="A53" s="75" t="s">
        <v>659</v>
      </c>
      <c r="B53" s="67" t="s">
        <v>660</v>
      </c>
      <c r="C53" s="67" t="s">
        <v>661</v>
      </c>
      <c r="D53" s="69" t="s">
        <v>86</v>
      </c>
      <c r="E53" s="70" t="s">
        <v>87</v>
      </c>
      <c r="F53" s="14" t="s">
        <v>30</v>
      </c>
      <c r="G53" s="10">
        <v>2</v>
      </c>
      <c r="H53" s="11">
        <v>0</v>
      </c>
      <c r="I53" s="10">
        <v>0</v>
      </c>
      <c r="J53" s="11">
        <v>0</v>
      </c>
      <c r="K53" s="22">
        <f t="shared" si="3"/>
        <v>2</v>
      </c>
      <c r="L53" s="72" t="s">
        <v>677</v>
      </c>
      <c r="M53" s="72" t="s">
        <v>678</v>
      </c>
      <c r="N53" s="72" t="s">
        <v>521</v>
      </c>
      <c r="O53" s="69"/>
    </row>
    <row r="54" spans="1:15" x14ac:dyDescent="0.25">
      <c r="A54" s="75" t="s">
        <v>659</v>
      </c>
      <c r="B54" s="67" t="s">
        <v>660</v>
      </c>
      <c r="C54" s="67" t="s">
        <v>661</v>
      </c>
      <c r="D54" s="69" t="s">
        <v>182</v>
      </c>
      <c r="E54" s="70" t="s">
        <v>183</v>
      </c>
      <c r="F54" s="14" t="s">
        <v>30</v>
      </c>
      <c r="G54" s="10">
        <v>2</v>
      </c>
      <c r="H54" s="11">
        <v>0</v>
      </c>
      <c r="I54" s="10">
        <v>0</v>
      </c>
      <c r="J54" s="11">
        <v>0</v>
      </c>
      <c r="K54" s="22">
        <f t="shared" si="3"/>
        <v>2</v>
      </c>
      <c r="L54" s="72" t="s">
        <v>679</v>
      </c>
      <c r="M54" s="72" t="s">
        <v>680</v>
      </c>
      <c r="N54" s="72" t="s">
        <v>521</v>
      </c>
      <c r="O54" s="69"/>
    </row>
    <row r="55" spans="1:15" x14ac:dyDescent="0.25">
      <c r="A55" s="86"/>
      <c r="B55" s="86"/>
      <c r="C55" s="86"/>
      <c r="D55" s="87"/>
      <c r="E55" s="86"/>
      <c r="F55" s="44"/>
      <c r="G55" s="88"/>
      <c r="H55" s="89"/>
      <c r="I55" s="90"/>
      <c r="J55" s="91"/>
      <c r="K55" s="92"/>
      <c r="L55" s="86"/>
      <c r="M55" s="93"/>
      <c r="N55" s="93"/>
      <c r="O55" s="94"/>
    </row>
    <row r="56" spans="1:15" x14ac:dyDescent="0.25">
      <c r="A56" s="86"/>
      <c r="B56" s="86"/>
      <c r="C56" s="86"/>
      <c r="D56" s="87"/>
      <c r="E56" s="86"/>
      <c r="F56" s="44"/>
      <c r="G56" s="88"/>
      <c r="H56" s="89"/>
      <c r="I56" s="90"/>
      <c r="J56" s="91"/>
      <c r="K56" s="92"/>
      <c r="L56" s="86"/>
      <c r="M56" s="93"/>
      <c r="N56" s="93"/>
      <c r="O56" s="94"/>
    </row>
    <row r="57" spans="1:15" x14ac:dyDescent="0.25">
      <c r="A57" s="86"/>
      <c r="B57" s="86"/>
      <c r="C57" s="86"/>
      <c r="D57" s="87"/>
      <c r="E57" s="86"/>
      <c r="F57" s="44"/>
      <c r="G57" s="88"/>
      <c r="H57" s="89"/>
      <c r="I57" s="90"/>
      <c r="J57" s="91"/>
      <c r="K57" s="92"/>
      <c r="L57" s="86"/>
      <c r="M57" s="93"/>
      <c r="N57" s="93"/>
      <c r="O57" s="94"/>
    </row>
    <row r="58" spans="1:15" x14ac:dyDescent="0.25">
      <c r="A58" s="86"/>
      <c r="B58" s="86"/>
      <c r="C58" s="86"/>
      <c r="D58" s="87"/>
      <c r="E58" s="86"/>
      <c r="F58" s="44"/>
      <c r="G58" s="88"/>
      <c r="H58" s="89"/>
      <c r="I58" s="90"/>
      <c r="J58" s="91"/>
      <c r="K58" s="92"/>
      <c r="L58" s="86"/>
      <c r="M58" s="93"/>
      <c r="N58" s="93"/>
      <c r="O58" s="94"/>
    </row>
    <row r="59" spans="1:15" x14ac:dyDescent="0.25">
      <c r="A59" s="86"/>
      <c r="B59" s="86"/>
      <c r="C59" s="86"/>
      <c r="D59" s="87"/>
      <c r="E59" s="86"/>
      <c r="F59" s="44"/>
      <c r="G59" s="88"/>
      <c r="H59" s="89"/>
      <c r="I59" s="90"/>
      <c r="J59" s="91"/>
      <c r="K59" s="92"/>
      <c r="L59" s="86"/>
      <c r="M59" s="93"/>
      <c r="N59" s="93"/>
      <c r="O59" s="94"/>
    </row>
    <row r="60" spans="1:15" x14ac:dyDescent="0.25">
      <c r="A60" s="86"/>
      <c r="B60" s="86"/>
      <c r="C60" s="86"/>
      <c r="D60" s="87"/>
      <c r="E60" s="86"/>
      <c r="F60" s="44"/>
      <c r="G60" s="88"/>
      <c r="H60" s="89"/>
      <c r="I60" s="90"/>
      <c r="J60" s="91"/>
      <c r="K60" s="92">
        <v>7</v>
      </c>
      <c r="L60" s="72" t="s">
        <v>681</v>
      </c>
      <c r="M60" s="72" t="s">
        <v>682</v>
      </c>
      <c r="N60" s="93"/>
      <c r="O60" s="94"/>
    </row>
    <row r="61" spans="1:15" x14ac:dyDescent="0.25">
      <c r="A61" s="86"/>
      <c r="B61" s="86"/>
      <c r="C61" s="86"/>
      <c r="D61" s="87"/>
      <c r="E61" s="86"/>
      <c r="F61" s="44"/>
      <c r="G61" s="88"/>
      <c r="H61" s="89"/>
      <c r="I61" s="90"/>
      <c r="J61" s="91"/>
      <c r="K61" s="92">
        <v>2</v>
      </c>
      <c r="L61" s="72" t="s">
        <v>683</v>
      </c>
      <c r="M61" s="72" t="s">
        <v>684</v>
      </c>
      <c r="N61" s="93"/>
      <c r="O61" s="94"/>
    </row>
    <row r="62" spans="1:15" x14ac:dyDescent="0.25">
      <c r="A62" s="86"/>
      <c r="B62" s="86"/>
      <c r="C62" s="86"/>
      <c r="D62" s="87"/>
      <c r="E62" s="86"/>
      <c r="F62" s="44"/>
      <c r="G62" s="88"/>
      <c r="H62" s="89"/>
      <c r="I62" s="90"/>
      <c r="J62" s="91"/>
      <c r="K62" s="92">
        <v>1</v>
      </c>
      <c r="L62" s="72" t="s">
        <v>685</v>
      </c>
      <c r="M62" s="72" t="s">
        <v>686</v>
      </c>
      <c r="N62" s="93"/>
      <c r="O62" s="95" t="s">
        <v>687</v>
      </c>
    </row>
    <row r="63" spans="1:15" x14ac:dyDescent="0.25">
      <c r="A63" s="86"/>
      <c r="B63" s="86"/>
      <c r="C63" s="86"/>
      <c r="D63" s="87"/>
      <c r="E63" s="86"/>
      <c r="F63" s="44"/>
      <c r="G63" s="88"/>
      <c r="H63" s="89"/>
      <c r="I63" s="90"/>
      <c r="J63" s="91"/>
      <c r="K63" s="92">
        <v>1</v>
      </c>
      <c r="L63" s="72" t="s">
        <v>688</v>
      </c>
      <c r="M63" s="72" t="s">
        <v>689</v>
      </c>
      <c r="N63" s="93"/>
      <c r="O63" s="41"/>
    </row>
    <row r="64" spans="1:15" x14ac:dyDescent="0.25">
      <c r="A64" s="86"/>
      <c r="B64" s="86"/>
      <c r="C64" s="86"/>
      <c r="D64" s="87"/>
      <c r="E64" s="86"/>
      <c r="F64" s="44"/>
      <c r="G64" s="88"/>
      <c r="H64" s="89"/>
      <c r="I64" s="90"/>
      <c r="J64" s="91"/>
      <c r="K64" s="92">
        <v>1</v>
      </c>
      <c r="L64" s="72" t="s">
        <v>690</v>
      </c>
      <c r="M64" s="72" t="s">
        <v>691</v>
      </c>
      <c r="N64" s="93"/>
      <c r="O64" s="96" t="s">
        <v>687</v>
      </c>
    </row>
    <row r="65" spans="1:15" x14ac:dyDescent="0.25">
      <c r="A65" s="86"/>
      <c r="B65" s="86"/>
      <c r="C65" s="86"/>
      <c r="D65" s="87"/>
      <c r="E65" s="86"/>
      <c r="F65" s="44"/>
      <c r="G65" s="88"/>
      <c r="H65" s="89"/>
      <c r="I65" s="90"/>
      <c r="J65" s="91"/>
      <c r="K65" s="92">
        <v>1</v>
      </c>
      <c r="L65" s="72" t="s">
        <v>692</v>
      </c>
      <c r="M65" s="72" t="s">
        <v>693</v>
      </c>
      <c r="N65" s="93"/>
      <c r="O65" s="41"/>
    </row>
    <row r="66" spans="1:15" x14ac:dyDescent="0.25">
      <c r="A66" s="86"/>
      <c r="B66" s="86"/>
      <c r="C66" s="86"/>
      <c r="D66" s="87"/>
      <c r="E66" s="86"/>
      <c r="F66" s="44"/>
      <c r="G66" s="88"/>
      <c r="H66" s="89"/>
      <c r="I66" s="90"/>
      <c r="J66" s="91"/>
      <c r="K66" s="92">
        <v>1</v>
      </c>
      <c r="L66" s="72" t="s">
        <v>694</v>
      </c>
      <c r="M66" s="72" t="s">
        <v>695</v>
      </c>
      <c r="N66" s="93"/>
      <c r="O66" s="94"/>
    </row>
    <row r="67" spans="1:15" x14ac:dyDescent="0.25">
      <c r="A67" s="86"/>
      <c r="B67" s="86"/>
      <c r="C67" s="86"/>
      <c r="D67" s="87"/>
      <c r="E67" s="86"/>
      <c r="F67" s="44"/>
      <c r="G67" s="88"/>
      <c r="H67" s="89"/>
      <c r="I67" s="90"/>
      <c r="J67" s="91"/>
      <c r="K67" s="92">
        <v>1</v>
      </c>
      <c r="L67" s="72" t="s">
        <v>696</v>
      </c>
      <c r="M67" s="72" t="s">
        <v>697</v>
      </c>
      <c r="N67" s="93"/>
      <c r="O67" s="94"/>
    </row>
    <row r="68" spans="1:15" x14ac:dyDescent="0.25">
      <c r="A68" s="86"/>
      <c r="B68" s="86"/>
      <c r="C68" s="86"/>
      <c r="D68" s="87"/>
      <c r="E68" s="86"/>
      <c r="F68" s="44"/>
      <c r="G68" s="88"/>
      <c r="H68" s="89"/>
      <c r="I68" s="90"/>
      <c r="J68" s="91"/>
      <c r="K68" s="92">
        <v>2</v>
      </c>
      <c r="L68" s="72" t="s">
        <v>698</v>
      </c>
      <c r="M68" s="72" t="s">
        <v>699</v>
      </c>
      <c r="N68" s="93"/>
      <c r="O68" s="94"/>
    </row>
    <row r="69" spans="1:15" x14ac:dyDescent="0.25">
      <c r="A69" s="86"/>
      <c r="B69" s="86"/>
      <c r="C69" s="86"/>
      <c r="D69" s="87"/>
      <c r="E69" s="86"/>
      <c r="F69" s="44"/>
      <c r="G69" s="88"/>
      <c r="H69" s="89"/>
      <c r="I69" s="90"/>
      <c r="J69" s="91"/>
      <c r="K69" s="92"/>
      <c r="L69" s="86"/>
      <c r="M69" s="93"/>
      <c r="N69" s="93"/>
      <c r="O69" s="94"/>
    </row>
    <row r="70" spans="1:15" x14ac:dyDescent="0.25">
      <c r="A70" s="86"/>
      <c r="B70" s="86"/>
      <c r="C70" s="86"/>
      <c r="D70" s="87"/>
      <c r="E70" s="86"/>
      <c r="F70" s="44"/>
      <c r="G70" s="88"/>
      <c r="H70" s="89"/>
      <c r="I70" s="90"/>
      <c r="J70" s="91"/>
      <c r="K70" s="92"/>
      <c r="L70" s="86"/>
      <c r="M70" s="93"/>
      <c r="N70" s="93"/>
      <c r="O70" s="9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APS_20260609</vt:lpstr>
      <vt:lpstr>APS_Tempry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Zeynep Urper</dc:creator>
  <cp:lastModifiedBy>Zeynep Urper</cp:lastModifiedBy>
  <cp:lastPrinted>2026-06-09T05:48:03Z</cp:lastPrinted>
  <dcterms:created xsi:type="dcterms:W3CDTF">2026-02-23T07:55:14Z</dcterms:created>
  <dcterms:modified xsi:type="dcterms:W3CDTF">2026-06-09T11:49:24Z</dcterms:modified>
</cp:coreProperties>
</file>