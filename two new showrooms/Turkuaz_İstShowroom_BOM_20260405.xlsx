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atoliatile-my.sharepoint.com/personal/zeynep_urper_anatolia_com/Documents/Desktop/"/>
    </mc:Choice>
  </mc:AlternateContent>
  <xr:revisionPtr revIDLastSave="0" documentId="14_{7A61F0DF-49DC-4F17-8B5D-272CB85D8567}" xr6:coauthVersionLast="47" xr6:coauthVersionMax="47" xr10:uidLastSave="{00000000-0000-0000-0000-000000000000}"/>
  <bookViews>
    <workbookView xWindow="-108" yWindow="-108" windowWidth="23256" windowHeight="13896" xr2:uid="{C8D06D31-79AE-479B-8D29-8E0E372D7C39}"/>
  </bookViews>
  <sheets>
    <sheet name="Turkuaz_BOM" sheetId="1" r:id="rId1"/>
    <sheet name="Ekstra 8 Ürün 120x 280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4" i="1" l="1"/>
  <c r="J93" i="1"/>
  <c r="J92" i="1"/>
  <c r="J91" i="1"/>
  <c r="J90" i="1"/>
  <c r="J89" i="1"/>
  <c r="J86" i="1"/>
  <c r="J85" i="1"/>
  <c r="J84" i="1"/>
  <c r="J83" i="1"/>
  <c r="J82" i="1"/>
  <c r="J81" i="1"/>
  <c r="J79" i="1"/>
  <c r="J78" i="1"/>
  <c r="J77" i="1"/>
  <c r="J76" i="1"/>
  <c r="J75" i="1"/>
  <c r="J74" i="1"/>
  <c r="J72" i="1"/>
  <c r="J66" i="1"/>
  <c r="J64" i="1"/>
  <c r="J63" i="1"/>
  <c r="J62" i="1"/>
  <c r="J61" i="1"/>
  <c r="J60" i="1"/>
  <c r="J59" i="1"/>
  <c r="J57" i="1"/>
  <c r="J56" i="1"/>
  <c r="J55" i="1"/>
  <c r="J54" i="1"/>
  <c r="J53" i="1"/>
  <c r="J52" i="1"/>
  <c r="J49" i="1"/>
  <c r="J48" i="1"/>
  <c r="J47" i="1"/>
  <c r="J46" i="1"/>
  <c r="J45" i="1"/>
  <c r="J44" i="1"/>
  <c r="J42" i="1"/>
  <c r="J41" i="1"/>
  <c r="J40" i="1"/>
  <c r="J39" i="1"/>
  <c r="J38" i="1"/>
  <c r="J37" i="1"/>
  <c r="J35" i="1"/>
  <c r="J33" i="1"/>
  <c r="J32" i="1"/>
  <c r="J30" i="1"/>
  <c r="J28" i="1"/>
  <c r="J27" i="1"/>
  <c r="J26" i="1"/>
  <c r="J25" i="1"/>
  <c r="J24" i="1"/>
  <c r="J23" i="1"/>
  <c r="J22" i="1"/>
  <c r="J50" i="1"/>
  <c r="J15" i="1"/>
  <c r="J16" i="1"/>
  <c r="J17" i="1"/>
  <c r="J18" i="1"/>
  <c r="J19" i="1"/>
  <c r="J8" i="1"/>
  <c r="J5" i="1"/>
  <c r="J6" i="1"/>
</calcChain>
</file>

<file path=xl/sharedStrings.xml><?xml version="1.0" encoding="utf-8"?>
<sst xmlns="http://schemas.openxmlformats.org/spreadsheetml/2006/main" count="777" uniqueCount="317">
  <si>
    <t xml:space="preserve">Location </t>
  </si>
  <si>
    <t>Area</t>
  </si>
  <si>
    <t>Product</t>
  </si>
  <si>
    <t>Size</t>
  </si>
  <si>
    <t>Colour</t>
  </si>
  <si>
    <t>Finish</t>
  </si>
  <si>
    <t>Thickness</t>
  </si>
  <si>
    <t># of "A" faces</t>
  </si>
  <si>
    <t># of "B" faces</t>
  </si>
  <si>
    <t>Total</t>
  </si>
  <si>
    <t>Product No</t>
  </si>
  <si>
    <t>Descripcion</t>
  </si>
  <si>
    <t>Açılı + Sürgü Ünite</t>
  </si>
  <si>
    <t>Slab 1</t>
  </si>
  <si>
    <t>Sintered Slab</t>
  </si>
  <si>
    <t>160 x 320 cm</t>
  </si>
  <si>
    <t xml:space="preserve">Majesto Arabescato Corchia </t>
  </si>
  <si>
    <t>Polished</t>
  </si>
  <si>
    <t>6 mm</t>
  </si>
  <si>
    <r>
      <t>8000-0036-0</t>
    </r>
    <r>
      <rPr>
        <sz val="11"/>
        <color rgb="FFFF0000"/>
        <rFont val="Helvatica"/>
        <charset val="162"/>
      </rPr>
      <t>*</t>
    </r>
  </si>
  <si>
    <t>160 x 320 cm / 63 x 126 in Arabescato Corchia Block 59 Bookmatch Cut Polished Rectified Colorsync Sintered Slab 6 mm / 0.24 in  </t>
  </si>
  <si>
    <t>Slab 2</t>
  </si>
  <si>
    <t xml:space="preserve">Verdi Alpi </t>
  </si>
  <si>
    <t>8000-0596-0</t>
  </si>
  <si>
    <t>160 x 320 cm / 63 x 126 in Verdi Alpi Polished Rectified Colorsync Sintered Slab 6 mm / 0.24 in</t>
  </si>
  <si>
    <t>Slab 3</t>
  </si>
  <si>
    <t>Majesto Bianco Dior Bookmatch</t>
  </si>
  <si>
    <t>Honed</t>
  </si>
  <si>
    <t>8000-0194-0</t>
  </si>
  <si>
    <t>160 x 320 cm / 63 x 126 in Bianco Dior Block 38 Bookmatch Cut Honed Rectified Colorsync Sintered Slab 6 mm / 0.24 in</t>
  </si>
  <si>
    <t>Slab 4</t>
  </si>
  <si>
    <t xml:space="preserve">Armani Noir Block 17 Bookmatch </t>
  </si>
  <si>
    <t>8000-0186-0</t>
  </si>
  <si>
    <t>160 x 320 cm / 63 x 126 in Armani Noir Block 17 Bookmatch Cut Honed Rectified Colorsync Sintered Slab 6 mm / 0.24 in  </t>
  </si>
  <si>
    <t>Slab 5</t>
  </si>
  <si>
    <t>Majesto Gemma Bronze Bookmatch</t>
  </si>
  <si>
    <t>8000-0210-0</t>
  </si>
  <si>
    <t>160 x 320 cm / 63 x 126 in Gemma Bronze Block 45 Bookmatch Cut Honed Rectified Colorsync Sintered Slab 6 mm / 0.24 in </t>
  </si>
  <si>
    <t>Slab 6</t>
  </si>
  <si>
    <t xml:space="preserve">Calacatta Viola Block 41 Bookmatch </t>
  </si>
  <si>
    <t>8000-0050-0</t>
  </si>
  <si>
    <t>160 x 320 cm / 63 x 126 in Calacatta Viola Block 41 Bookmatch Cut Honed Rectified Colorsync Sintered Slab 6 mm / 0.24 in</t>
  </si>
  <si>
    <t>Slab 7</t>
  </si>
  <si>
    <t>Slab 8</t>
  </si>
  <si>
    <t>Slab 9</t>
  </si>
  <si>
    <t xml:space="preserve">Oro Noir </t>
  </si>
  <si>
    <t>8000-0272-0</t>
  </si>
  <si>
    <t>160 x 320 cm / 63 x 126 in Oro Noir Block 25 Bookmatch Cut Polished Rectified Colorsync Sintered Slab 6 mm / 0.24 in</t>
  </si>
  <si>
    <t>Slab 10</t>
  </si>
  <si>
    <t xml:space="preserve">Atlantic Ocean </t>
  </si>
  <si>
    <t>8000-0188-0</t>
  </si>
  <si>
    <t>160 x 320 cm / 63 x 126 in Atlantic Ocean Block 24 Bookmatch Cut Polished Rectified Colorsync Sintered Slab 6 mm / 0.24 in</t>
  </si>
  <si>
    <t>Slab 11</t>
  </si>
  <si>
    <t>Nero Marquina</t>
  </si>
  <si>
    <t>8000-0270-1</t>
  </si>
  <si>
    <t>160 x 320 cm / 63 x 126 in Nero Marquina Block 26 Bookmatch Cut Honed Rectified Colorsync Sintered Slab 6 mm / 0.24 in</t>
  </si>
  <si>
    <t>Slab 12</t>
  </si>
  <si>
    <t xml:space="preserve">Macchia Vecchia </t>
  </si>
  <si>
    <t>8000-0252-0</t>
  </si>
  <si>
    <t>160 x 320 cm / 63 x 126 in Macchia Vecchia Block 42 Bookmatch Cut Polished Rectified Colorsync Sintered Slab 6 mm / 0.24 in</t>
  </si>
  <si>
    <t>Mini Slab 1</t>
  </si>
  <si>
    <t>120 x 280 cm</t>
  </si>
  <si>
    <t>Monoforma Moonlight</t>
  </si>
  <si>
    <t>8500-0631-0</t>
  </si>
  <si>
    <t>120 x 280 cm / 48 x 110 in Monoforma Moonlight Honed Rectified Unglazed Sintered Slab 6 mm / 0.24 in</t>
  </si>
  <si>
    <t>Mini Slab 2</t>
  </si>
  <si>
    <t>Majesto Calacatta Corchia</t>
  </si>
  <si>
    <t>8500-0019-0</t>
  </si>
  <si>
    <t>120 x 280 cm / 48 x 110 in Majesto Calacatta Corchia Honed Rectified Colorsync Sintered Slab 6 mm / 0.24 in  </t>
  </si>
  <si>
    <t>Mini Slab 3</t>
  </si>
  <si>
    <t>Majesto Forge Eleganza</t>
  </si>
  <si>
    <t>8500-0039-0</t>
  </si>
  <si>
    <t>120 x 280 cm / 48 x 110 in Majesto Forge Eleganza Honed Rectified Colorsync Sintered Slab 6 mm / 0.24 in</t>
  </si>
  <si>
    <t>Mini Slab 4</t>
  </si>
  <si>
    <t xml:space="preserve">Sahara Noir </t>
  </si>
  <si>
    <t>8500-0049-0</t>
  </si>
  <si>
    <t>120 x 280 cm / 48 x 110 in Majesto Sahara Noir Honed Rectified Colorsync Sintered Slab 6 mm / 0.24 in</t>
  </si>
  <si>
    <t>Mini Slab 5</t>
  </si>
  <si>
    <t>French Vanilia</t>
  </si>
  <si>
    <t>8500-0037-0</t>
  </si>
  <si>
    <t>120 x 280 cm / 48 x 110 in Majesto French Vanilla Honed Rectified Colorsync Sintered Slab 6 mm / 0.24 in</t>
  </si>
  <si>
    <t>Mini Slab 6</t>
  </si>
  <si>
    <t xml:space="preserve">Majesto Statuario </t>
  </si>
  <si>
    <t>8500-0015-0</t>
  </si>
  <si>
    <t>120 x 280 cm / 48 x 110 in Majesto Statuario Honed Rectified Colorsync Sintered Slab 6 mm / 0.24 in</t>
  </si>
  <si>
    <t>Mini Slab 7</t>
  </si>
  <si>
    <t>Majesto Ariel Bianco</t>
  </si>
  <si>
    <t>8500-0023-0</t>
  </si>
  <si>
    <t>120 x 280 cm / 48 x 110 in Majesto Ariel Bianco Honed Rectified Colorsync Sintered Slab 6 mm / 0.24 in</t>
  </si>
  <si>
    <t xml:space="preserve">Majesto Calacatta Borghini </t>
  </si>
  <si>
    <t>8500-0032-1</t>
  </si>
  <si>
    <t>120 x 280 cm / 48 x 110 in Majesto Calacatta Borghini Polished Rectified Colorsync Sintered Slab 6 mm / 0.24 in</t>
  </si>
  <si>
    <t>60 x 60 cm</t>
  </si>
  <si>
    <t>9 mm</t>
  </si>
  <si>
    <t>8500-0214-0</t>
  </si>
  <si>
    <t>60 x 60 cm / 24 x 24 in Majesto Calacatta Borghini Honed Rectified Colorsync Porcelain Tile  </t>
  </si>
  <si>
    <t>30 x 60 cm</t>
  </si>
  <si>
    <t xml:space="preserve">Vintage </t>
  </si>
  <si>
    <t>8500-0311-0</t>
  </si>
  <si>
    <t>30 x 60 cm / 12 x 24 in Majesto Calacatta Borghini Vintage Rectified Colorsync Porcelain Tile  </t>
  </si>
  <si>
    <t>5  cm</t>
  </si>
  <si>
    <t>8510-0008-0</t>
  </si>
  <si>
    <t>5 cm / 2 in Majesto Calacatta Borghini Hexagon Vintage Colorsync Porcelain Mosaic  </t>
  </si>
  <si>
    <t>60 x 120 cm</t>
  </si>
  <si>
    <t>8500-0431-0</t>
  </si>
  <si>
    <t>60 x 120 cm / 24 x 48 in Majesto Calacatta Borghini Polished Rectified Colorsync Porcelain Tile  </t>
  </si>
  <si>
    <t>120 x 120 cm</t>
  </si>
  <si>
    <t xml:space="preserve">Majesto Pietra Imperiale </t>
  </si>
  <si>
    <t>8500-0644-0</t>
  </si>
  <si>
    <t>120 x 120 cm / 48 x 48 in Majesto Pietra Imperiale Honed Rectified Colorsync Porcelain Tile  </t>
  </si>
  <si>
    <t>Mini Slab 10</t>
  </si>
  <si>
    <t>8500-0645-0</t>
  </si>
  <si>
    <t>120 x 280 cm / 48 x 110 in Majesto Pietra Imperiale Polished Rectified Colorsync Sintered Slab 6 mm / 0.24 in  </t>
  </si>
  <si>
    <t>Majesto Travertino Classico</t>
  </si>
  <si>
    <t>8500-0052-0</t>
  </si>
  <si>
    <t>120 x 280 cm / 48 x 110 in Majesto Travertino Classico Honed Rectified Colorsync Sintered Slab 6 mm / 0.24 in  </t>
  </si>
  <si>
    <t xml:space="preserve">30 x60 cm </t>
  </si>
  <si>
    <t>Grained</t>
  </si>
  <si>
    <t>8500-0406-0</t>
  </si>
  <si>
    <t>30 x 60 cm / 12 x 24 in Majesto Travertino Classico Grained Rectified Colorsync Porcelain Tile  </t>
  </si>
  <si>
    <t>5 cm</t>
  </si>
  <si>
    <t xml:space="preserve"> Organic Matte</t>
  </si>
  <si>
    <t>8510-0017-0</t>
  </si>
  <si>
    <t>5 cm / 2 in Majesto Travertino Classico Hexagon Organic Matte Colorsync Porcelain Mosaic  </t>
  </si>
  <si>
    <t>8500-0533-0</t>
  </si>
  <si>
    <t>60 x 120 cm / 24 x 48 in Majesto Travertino Classico Organic Matte Rectified Colorsync Porcelain Tile  </t>
  </si>
  <si>
    <t>Travertino Titanium</t>
  </si>
  <si>
    <t>8500-0535-0</t>
  </si>
  <si>
    <t>60 x 120 cm / 24 x 48 in Majesto Travertino Titanium Honed Rectified Colorsync Porcelain Tile  </t>
  </si>
  <si>
    <t>Mini Slab 13</t>
  </si>
  <si>
    <t>8500-0054-0</t>
  </si>
  <si>
    <t>120 x 280 cm / 48 x 110 in Majesto Travertino Titanium Honed Rectified Colorsync Sintered Slab 6 mm / 0.24 in</t>
  </si>
  <si>
    <t>Lustra Onyx Crema</t>
  </si>
  <si>
    <t>8500-0063-0</t>
  </si>
  <si>
    <t>120 x 280 cm / 48 x 110 in Lustra Onyx Crema Honed Rectified Colorsync Sintered Slab 6 mm / 0.24 in  </t>
  </si>
  <si>
    <t>Lustra Onyx Feather</t>
  </si>
  <si>
    <t>8500-0691-0</t>
  </si>
  <si>
    <t>30 x 60 cm / 12 x 24 in Lustra Onyx Feather Honed Rectified Colorsync Porcelain Tile  </t>
  </si>
  <si>
    <t>8500-0690-0</t>
  </si>
  <si>
    <t>60 x 60 cm / 24 x 24 in Lustra Onyx Feather Polished Rectified Colorsync Porcelain Tile  </t>
  </si>
  <si>
    <t>8510-0044-0</t>
  </si>
  <si>
    <t>5 cm / 2 in Lustra Onyx Feather Hexagon Honed Colorsync Porcelain Mosaic  </t>
  </si>
  <si>
    <t>Lustra Onyx Sage</t>
  </si>
  <si>
    <t>8500-0155-0</t>
  </si>
  <si>
    <t>120 x 120 cm / 48 x 48 in Lustra Onyx Sage Honed Rectified Colorsync Porcelain Tile  </t>
  </si>
  <si>
    <t>Mini Slab 16</t>
  </si>
  <si>
    <t>Lustra Onyx Hazel</t>
  </si>
  <si>
    <t>8500-0067-0</t>
  </si>
  <si>
    <t>120 x 280 cm / 48 x 110 in Lustra Onyx Hazel Honed Rectified Colorsync Sintered Slab 6 mm / 0.24 in  </t>
  </si>
  <si>
    <t xml:space="preserve">Majesto Ceppo di Gre </t>
  </si>
  <si>
    <t>8500-0058-0</t>
  </si>
  <si>
    <t>120 x 280 cm / 48 x 110 in Majesto Ceppo di Gre Honed Rectified Colorsync Sintered Slab 6 mm / 0.24 in  </t>
  </si>
  <si>
    <t>8500-0148-0</t>
  </si>
  <si>
    <t>120 x 120 cm / 48 x 48 in Majesto Ceppo di Gre Honed Rectified Colorsync Porcelain Tile  </t>
  </si>
  <si>
    <t>8500-0446-0</t>
  </si>
  <si>
    <t>60 x 120 cm / 24 x 48 in Majesto Ceppo di Gre Organic Matte Rectified Colorsync Porcelain Tile  </t>
  </si>
  <si>
    <t>8510-0020-0</t>
  </si>
  <si>
    <t>5 cm / 2 in Majesto Ceppo di Gre Hexagon Organic Matte Colorsync Porcelain Mosaic  </t>
  </si>
  <si>
    <t>8500-0229-0</t>
  </si>
  <si>
    <t>60 x 60 cm / 24 x 24 in Majesto Ceppo di Gre Grained Rectified Colorsync Porcelain Tile  </t>
  </si>
  <si>
    <t>8500-0325-0</t>
  </si>
  <si>
    <t>30 x 60 cm / 12 x 24 in Majesto Ceppo di Gre Grained Rectified Colorsync Porcelain Tile  </t>
  </si>
  <si>
    <t>Mini Slab 19</t>
  </si>
  <si>
    <t xml:space="preserve">Serena Crater </t>
  </si>
  <si>
    <t>8500-0070-0</t>
  </si>
  <si>
    <t>120 x 280 cm / 48 x 110 in Serena Crater Honed Rectified Colorsync Sintered Slab 6 mm / 0.24 in  </t>
  </si>
  <si>
    <t>Subsize Board 20</t>
  </si>
  <si>
    <t>Vintage</t>
  </si>
  <si>
    <t>8500-0276-0</t>
  </si>
  <si>
    <t>60 x 60 cm / 24 x 24 in Serena Crater Vintage Rectified Colorsync Porcelain Tile  </t>
  </si>
  <si>
    <t>10 cm</t>
  </si>
  <si>
    <t>Organic Matte</t>
  </si>
  <si>
    <t>8510-0026-0</t>
  </si>
  <si>
    <t>10 cm / 4 in Serena Crater Hexagon Organic Matte Colorsync Porcelain Mosaic  </t>
  </si>
  <si>
    <t>8500-0508-0</t>
  </si>
  <si>
    <t>60 x 120 cm / 24 x 48 in Serena Crater Organic Matte Rectified Colorsync Porcelain Tile  </t>
  </si>
  <si>
    <t xml:space="preserve">120 x 120 cm </t>
  </si>
  <si>
    <t>Serena Valley</t>
  </si>
  <si>
    <t>8500-0168-0</t>
  </si>
  <si>
    <t>120 x 120 cm / 48 x 48 in Serena Valley Honed Rectified Colorsync Porcelain Tile  </t>
  </si>
  <si>
    <t>Mini Slab 21</t>
  </si>
  <si>
    <t>8500-0078-0</t>
  </si>
  <si>
    <t>120 x 280 cm / 48 x 110 in Serena Valley Honed Rectified Colorsync Sintered Slab 6 mm / 0.24 in  </t>
  </si>
  <si>
    <t>Mini Slab 22</t>
  </si>
  <si>
    <t>Serena Dusk</t>
  </si>
  <si>
    <t>8500-0076-0</t>
  </si>
  <si>
    <t>120 x 280 cm / 48 x 110 in Serena Dusk Honed Rectified Colorsync Sintered Slab 6 mm / 0.24 in  </t>
  </si>
  <si>
    <t>Subsize Board 23</t>
  </si>
  <si>
    <t>Serena Shale</t>
  </si>
  <si>
    <t>8500-0288-0</t>
  </si>
  <si>
    <t>60 x 60 cm / 24 x 24 in Serena Shale Vintage Rectified Colorsync Porcelain Tile  </t>
  </si>
  <si>
    <t>8500-0520-0</t>
  </si>
  <si>
    <t>60 x 120 cm / 24 x 48 in Serena Shale Organic Matte Rectified Colorsync Porcelain Tile  </t>
  </si>
  <si>
    <t>8510-0027-0</t>
  </si>
  <si>
    <t>10 cm / 4 in Serena Shale Hexagon Organic Matte Colorsync Porcelain Mosaic  </t>
  </si>
  <si>
    <t>Serena Flint</t>
  </si>
  <si>
    <t>8500-0158-0</t>
  </si>
  <si>
    <t>120 x 120 cm / 48 x 48 in Serena Flint Honed Rectified Colorsync Porcelain Tile  </t>
  </si>
  <si>
    <t>Mini Slab 24</t>
  </si>
  <si>
    <t>Serena Pewter</t>
  </si>
  <si>
    <t>8500-0074-0</t>
  </si>
  <si>
    <t>120 x 280 cm / 48 x 110 in Serena Pewter Honed Rectified Colorsync Sintered Slab 6 mm / 0.24 in  </t>
  </si>
  <si>
    <t>Mini Slab 25</t>
  </si>
  <si>
    <t xml:space="preserve">Lithoform Veincut Dunes </t>
  </si>
  <si>
    <t>8500-0092-0</t>
  </si>
  <si>
    <t>120 x 280 cm / 48 x 110 in Lithoform Veincut Dunes Honed Rectified Colorsync Sintered Slab 6 mm / 0.24 in  </t>
  </si>
  <si>
    <t>Subsize Board 26</t>
  </si>
  <si>
    <t>Lithoform Crosscut Dunes</t>
  </si>
  <si>
    <t>8500-0345-0</t>
  </si>
  <si>
    <t>30 x 60 cm / 12 x 24 in Lithoform Crosscut Dunes Vintage Rectified Colorsync Porcelain Tile  </t>
  </si>
  <si>
    <t>90 x 90 cm</t>
  </si>
  <si>
    <t>8500-0572-0</t>
  </si>
  <si>
    <t>90 x 90 cm / 36 x 36 in Lithoform Crosscut Dunes Organic Matte Rectified Colorsync Porcelain Tile  </t>
  </si>
  <si>
    <t>8510-0031-0</t>
  </si>
  <si>
    <t>10 cm / 4 in Lithoform Crosscut Dunes Hexagon Organic Matte Colorsync Porcelain Mosaic  </t>
  </si>
  <si>
    <t xml:space="preserve">Lithoform Crosscut Coast </t>
  </si>
  <si>
    <t>8500-0241-0</t>
  </si>
  <si>
    <t>60 x 60 cm / 24 x 24 in Lithoform Crosscut Coast Honed Rectified Colorsync Porcelain Tile  </t>
  </si>
  <si>
    <t>8500-0460-0</t>
  </si>
  <si>
    <t>60 x 120 cm / 24 x 48 in Lithoform Crosscut Coast Organic Matte Rectified Colorsync Porcelain Tile </t>
  </si>
  <si>
    <t>Mini Slab 27</t>
  </si>
  <si>
    <t>Lithoform Veincut Coast</t>
  </si>
  <si>
    <t>8500-0095-0</t>
  </si>
  <si>
    <t>120 x 280 cm / 48 x 110 in Lithoform Veincut Coast Honed Rectified Colorsync Sintered Slab 6 mm / 0.24 in  </t>
  </si>
  <si>
    <t>Mini Slab 28</t>
  </si>
  <si>
    <t>Lithoform Veincut Vista</t>
  </si>
  <si>
    <t>8500-0098-0</t>
  </si>
  <si>
    <t>120 x 280 cm / 48 x 110 in Lithoform Veincut Vista Honed Rectified Colorsync Sintered Slab 6 mm / 0.24 in  </t>
  </si>
  <si>
    <t>Subsize Board 29</t>
  </si>
  <si>
    <t xml:space="preserve">Lithoform Crosscut Vista </t>
  </si>
  <si>
    <t>8500-0252-0</t>
  </si>
  <si>
    <t>60 x 60 cm / 24 x 24 in Lithoform Crosscut Vista Vintage Rectified Colorsync Porcelain Tile </t>
  </si>
  <si>
    <t>8510-0033-0</t>
  </si>
  <si>
    <t>10 cm / 4 in Lithoform Crosscut Vista Hexagon Organic Matte Colorsync Porcelain Mosaic  </t>
  </si>
  <si>
    <t>8500-0478-0</t>
  </si>
  <si>
    <t>60 x 120 cm / 24 x 48 in Lithoform Crosscut Vista Organic Matte Rectified Colorsync Porcelain Tile  </t>
  </si>
  <si>
    <t xml:space="preserve">Lithoform Crosscut Twilight </t>
  </si>
  <si>
    <t>8500-0179-0</t>
  </si>
  <si>
    <t>120 x 120 cm / 48 x 48 in Lithoform Crosscut Twilight Honed Rectified Colorsync Porcelain Tile </t>
  </si>
  <si>
    <t>Mini Slab 30</t>
  </si>
  <si>
    <t>8500-0101-0</t>
  </si>
  <si>
    <t>120 x 280 cm / 48 x 110 in Lithoform Veincut Twilight Honed Rectified Colorsync Sintered Slab 6 mm / 0.24 in</t>
  </si>
  <si>
    <t>Mini Slab 31</t>
  </si>
  <si>
    <t>Majesto Taj Mahal</t>
  </si>
  <si>
    <t>8500-0034-1</t>
  </si>
  <si>
    <t>120 x 280 cm / 48 x 110 in Majesto Taj Mahal Polished Rectified Colorsync Sintered Slab 6 mm / 0.24 in</t>
  </si>
  <si>
    <t>Subsize Board 32</t>
  </si>
  <si>
    <t>60 x 120</t>
  </si>
  <si>
    <t>8500-0530-0</t>
  </si>
  <si>
    <t>60 x 120 cm / 24 x 48 in Majesto Taj Mahal Polished Rectified Colorsync Porcelain Tile  </t>
  </si>
  <si>
    <t>8500-0295-0</t>
  </si>
  <si>
    <t>60 x 60 cm / 24 x 24 in Majesto Taj Mahal Honed Rectified Colorsync Porcelain Tile  </t>
  </si>
  <si>
    <t>8510-0009-0</t>
  </si>
  <si>
    <t>5 cm / 2 in Majesto Taj Mahal Hexagon Honed Colorsync Porcelain Mosaic  </t>
  </si>
  <si>
    <t>8500-0403-0</t>
  </si>
  <si>
    <t>30 x 60 cm / 12 x 24 in Majesto Taj Mahal Honed Rectified Colorsync Porcelain Tile  </t>
  </si>
  <si>
    <t>Majesto Calacatta Cremo</t>
  </si>
  <si>
    <t>8500-0131-0</t>
  </si>
  <si>
    <t>120 x 120 cm / 48 x 48 in Majesto Calacatta Cremo Honed Rectified Colorsync Porcelain Tile  </t>
  </si>
  <si>
    <t>Mini Slab 33</t>
  </si>
  <si>
    <t>8500-0027-1</t>
  </si>
  <si>
    <t>120 x 280 cm / 48 x 110 in Majesto Calacatta Cremo Honed Rectified Colorsync Sintered Slab 6 mm / 0.24 in</t>
  </si>
  <si>
    <t>Mini Slab 34</t>
  </si>
  <si>
    <t xml:space="preserve">Majesto Bianco Gioia </t>
  </si>
  <si>
    <t>8500-0017-0</t>
  </si>
  <si>
    <t>120 x 280 cm / 48 x 110 in Majesto Bianco Gioia Honed Rectified Colorsync Sintered Slab 6 mm / 0.24 in</t>
  </si>
  <si>
    <t>Subsize Board 35</t>
  </si>
  <si>
    <t>8500-0211-0</t>
  </si>
  <si>
    <t>60 x 60 cm / 24 x 24 in Majesto Bianco Gioia Honed Rectified Colorsync Porcelain Tile  </t>
  </si>
  <si>
    <t>8500-0305-0</t>
  </si>
  <si>
    <t>30 x 60 cm / 12 x 24 in Majesto Bianco Gioia Vintage Rectified Colorsync Porcelain Tile  </t>
  </si>
  <si>
    <t>8510-0002-0</t>
  </si>
  <si>
    <t>5 cm / 2 in Majesto Bianco Gioia Hexagon Vintage Colorsync Porcelain Mosaic  </t>
  </si>
  <si>
    <t>Majesto Calacatta Noir</t>
  </si>
  <si>
    <t>8500-0144-0</t>
  </si>
  <si>
    <t>120 x 120 cm / 48 x 48 in Majesto Calacatta Noir Polished Rectified Colorsync Porcelain Tile  </t>
  </si>
  <si>
    <t>Mini Slab 36</t>
  </si>
  <si>
    <t>8500-0050-1</t>
  </si>
  <si>
    <t>120 x 280 cm / 48 x 110 in Majesto Calacatta Noir Polished Rectified Colorsync Sintered Slab 6 mm / 0.24 in</t>
  </si>
  <si>
    <t>Subsize Board 8</t>
  </si>
  <si>
    <t>Mini Slab 9</t>
  </si>
  <si>
    <t>Subsize Board 11</t>
  </si>
  <si>
    <t>Mini Slab 12</t>
  </si>
  <si>
    <t>Subsize Board 14</t>
  </si>
  <si>
    <t>Mini Slab 15</t>
  </si>
  <si>
    <t>Subsize Board 17</t>
  </si>
  <si>
    <t>Mini Slab 18</t>
  </si>
  <si>
    <t>8000-0294-0</t>
  </si>
  <si>
    <t>160 x 320 cm / 63 x 126 in Super White Block 28 Bookmatch Cut Honed Rectified Colorsync Sintered Slab 6 mm / 0.24 in  </t>
  </si>
  <si>
    <t>Super White Block 28 Bookmatch</t>
  </si>
  <si>
    <t>120 x120 cm</t>
  </si>
  <si>
    <t>8500-0057-1</t>
  </si>
  <si>
    <t>120 x 280 cm / 48 x 110 in Majesto Crystal Bianco Honed Rectified Colorsync Sintered Slab 6 mm / 0.24 in</t>
  </si>
  <si>
    <t>8500-0112-0</t>
  </si>
  <si>
    <t>120 x 280 cm / 48 x 110 in Monoforma Oasis Polished Rectified Unglazed Sintered Slab 6 mm / 0.24 in</t>
  </si>
  <si>
    <t>8500-0117-0</t>
  </si>
  <si>
    <t>120 x 280 cm / 48 x 110 in Monoforma Silhouette Silk Rectified Unglazed Sintered Slab 6 mm / 0.24 in</t>
  </si>
  <si>
    <t>Lithoform Veincut Twilight</t>
  </si>
  <si>
    <t>8500-0072-0</t>
  </si>
  <si>
    <t>120 x 280 cm / 48 x 110 in Serena Shale Honed Rectified Colorsync Sintered Slab 6 mm / 0.24 in  </t>
  </si>
  <si>
    <t>120 x 280 cm / 48 x 110 in Majesto Crystal Bianco Honed Rectified Colorsync Sintered Slab 6 mm / 0.24 in </t>
  </si>
  <si>
    <t>8500-0080-0</t>
  </si>
  <si>
    <t>120 x 280 cm / 48 x 110 in Lithoform Crosscut Dunes Honed Rectified Colorsync Sintered Slab 6 mm / 0.24 in  </t>
  </si>
  <si>
    <t>8500-0083-0</t>
  </si>
  <si>
    <t>120 x 280 cm / 48 x 110 in Lithoform Crosscut Coast Honed Rectified Colorsync Sintered Slab 6 mm / 0.24 in  </t>
  </si>
  <si>
    <t>8000-0250-0</t>
  </si>
  <si>
    <t>160 x 320 cm / 63 x 126 in Grigio Quarzo Block 21 Bookmatch Cut Honed Rectified Colorsync Sintered Slab 6 mm / 0.24 in  </t>
  </si>
  <si>
    <t xml:space="preserve">Grigio Quarzo Block 21 Bookmatch </t>
  </si>
  <si>
    <t xml:space="preserve">foresta yerine gelecek </t>
  </si>
  <si>
    <t>Subsize board 8</t>
  </si>
  <si>
    <t>Subsize board 14</t>
  </si>
  <si>
    <t>Subsize board 20</t>
  </si>
  <si>
    <t>Subsize board 23</t>
  </si>
  <si>
    <t>Subsize board 26</t>
  </si>
  <si>
    <t>Subsize board 29</t>
  </si>
  <si>
    <t>Subsize board 35</t>
  </si>
  <si>
    <t>Subsize board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</si>
</sst>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1"/>
      <color theme="0"/>
      <name val="Helvatica"/>
      <charset val="162"/>
    </font>
    <font>
      <sz val="11"/>
      <color theme="9" tint="0.39994506668294322"/>
      <name val="Calibri"/>
      <family val="2"/>
      <scheme val="minor"/>
    </font>
    <font>
      <sz val="11"/>
      <name val="Helvatica"/>
      <charset val="162"/>
    </font>
    <font>
      <i/>
      <sz val="11"/>
      <color theme="1"/>
      <name val="Helvatica"/>
      <charset val="162"/>
    </font>
    <font>
      <sz val="11"/>
      <color theme="1"/>
      <name val="Helvatica"/>
      <charset val="162"/>
    </font>
    <font>
      <sz val="11"/>
      <color rgb="FF212121"/>
      <name val="Helvatica"/>
      <charset val="162"/>
    </font>
    <font>
      <sz val="11"/>
      <color rgb="FFFF0000"/>
      <name val="Helvatica"/>
      <charset val="162"/>
    </font>
    <font>
      <sz val="11"/>
      <color rgb="FF000000"/>
      <name val="Helvatica"/>
      <charset val="162"/>
    </font>
    <font>
      <sz val="8"/>
      <name val="Calibri"/>
      <family val="2"/>
      <charset val="162"/>
      <scheme val="minor"/>
    </font>
    <font>
      <sz val="9"/>
      <color rgb="FF212121"/>
      <name val="Verdana"/>
      <family val="2"/>
      <charset val="162"/>
    </font>
    <font>
      <sz val="9"/>
      <color rgb="FF000000"/>
      <name val="Verdana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5" fillId="0" borderId="2" applyAlignment="0">
      <alignment horizontal="center" vertical="center"/>
    </xf>
  </cellStyleXfs>
  <cellXfs count="154">
    <xf numFmtId="0" fontId="0" fillId="0" borderId="0" xfId="0"/>
    <xf numFmtId="0" fontId="4" fillId="2" borderId="1" xfId="2" applyFont="1" applyBorder="1" applyAlignment="1">
      <alignment horizontal="left" vertical="center" wrapText="1"/>
    </xf>
    <xf numFmtId="0" fontId="4" fillId="2" borderId="1" xfId="2" applyFont="1" applyBorder="1" applyAlignment="1">
      <alignment horizontal="left" vertical="center"/>
    </xf>
    <xf numFmtId="0" fontId="4" fillId="2" borderId="1" xfId="2" applyFont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6" fillId="8" borderId="2" xfId="6" applyFont="1" applyFill="1" applyAlignment="1">
      <alignment horizontal="left"/>
    </xf>
    <xf numFmtId="0" fontId="8" fillId="0" borderId="2" xfId="0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4" borderId="2" xfId="4" applyFont="1" applyBorder="1" applyAlignment="1">
      <alignment horizontal="center"/>
    </xf>
    <xf numFmtId="0" fontId="8" fillId="3" borderId="2" xfId="3" applyFont="1" applyBorder="1" applyAlignment="1">
      <alignment horizontal="center"/>
    </xf>
    <xf numFmtId="0" fontId="8" fillId="5" borderId="2" xfId="5" applyFont="1" applyBorder="1" applyAlignment="1">
      <alignment horizontal="center"/>
    </xf>
    <xf numFmtId="0" fontId="9" fillId="7" borderId="2" xfId="0" applyFont="1" applyFill="1" applyBorder="1" applyAlignment="1">
      <alignment horizontal="right" vertical="center"/>
    </xf>
    <xf numFmtId="0" fontId="9" fillId="7" borderId="2" xfId="0" applyFont="1" applyFill="1" applyBorder="1" applyAlignment="1">
      <alignment horizontal="left" vertical="center" indent="1"/>
    </xf>
    <xf numFmtId="0" fontId="8" fillId="7" borderId="2" xfId="0" applyFont="1" applyFill="1" applyBorder="1" applyAlignment="1">
      <alignment horizontal="right"/>
    </xf>
    <xf numFmtId="0" fontId="8" fillId="7" borderId="2" xfId="0" applyFont="1" applyFill="1" applyBorder="1"/>
    <xf numFmtId="0" fontId="9" fillId="7" borderId="2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right"/>
    </xf>
    <xf numFmtId="0" fontId="8" fillId="0" borderId="2" xfId="0" applyFont="1" applyBorder="1"/>
    <xf numFmtId="0" fontId="8" fillId="8" borderId="2" xfId="0" applyFont="1" applyFill="1" applyBorder="1"/>
    <xf numFmtId="0" fontId="6" fillId="5" borderId="2" xfId="5" applyFont="1" applyBorder="1" applyAlignment="1">
      <alignment horizontal="center" wrapText="1"/>
    </xf>
    <xf numFmtId="0" fontId="8" fillId="0" borderId="0" xfId="0" applyFont="1"/>
    <xf numFmtId="0" fontId="7" fillId="9" borderId="2" xfId="1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left"/>
    </xf>
    <xf numFmtId="0" fontId="9" fillId="7" borderId="2" xfId="0" applyFont="1" applyFill="1" applyBorder="1" applyAlignment="1">
      <alignment vertical="top"/>
    </xf>
    <xf numFmtId="0" fontId="6" fillId="8" borderId="5" xfId="6" applyFont="1" applyFill="1" applyBorder="1" applyAlignment="1">
      <alignment horizontal="center" vertical="center"/>
    </xf>
    <xf numFmtId="0" fontId="6" fillId="8" borderId="6" xfId="6" applyFont="1" applyFill="1" applyBorder="1" applyAlignment="1">
      <alignment horizontal="center" vertical="center"/>
    </xf>
    <xf numFmtId="0" fontId="6" fillId="8" borderId="6" xfId="6" applyFont="1" applyFill="1" applyBorder="1" applyAlignment="1">
      <alignment horizontal="left"/>
    </xf>
    <xf numFmtId="0" fontId="8" fillId="8" borderId="6" xfId="6" applyFont="1" applyFill="1" applyBorder="1" applyAlignment="1">
      <alignment horizontal="center" vertical="center"/>
    </xf>
    <xf numFmtId="0" fontId="8" fillId="8" borderId="6" xfId="1" applyFont="1" applyFill="1" applyBorder="1" applyAlignment="1">
      <alignment horizontal="center" vertical="center"/>
    </xf>
    <xf numFmtId="0" fontId="8" fillId="8" borderId="6" xfId="4" applyFont="1" applyFill="1" applyBorder="1" applyAlignment="1">
      <alignment horizontal="center"/>
    </xf>
    <xf numFmtId="0" fontId="8" fillId="8" borderId="6" xfId="3" applyFont="1" applyFill="1" applyBorder="1" applyAlignment="1">
      <alignment horizontal="center"/>
    </xf>
    <xf numFmtId="0" fontId="6" fillId="8" borderId="6" xfId="5" applyFont="1" applyFill="1" applyBorder="1" applyAlignment="1">
      <alignment horizontal="center" wrapText="1"/>
    </xf>
    <xf numFmtId="0" fontId="8" fillId="8" borderId="6" xfId="0" applyFont="1" applyFill="1" applyBorder="1" applyAlignment="1">
      <alignment horizontal="right"/>
    </xf>
    <xf numFmtId="0" fontId="8" fillId="8" borderId="7" xfId="0" applyFont="1" applyFill="1" applyBorder="1" applyAlignment="1">
      <alignment horizontal="left"/>
    </xf>
    <xf numFmtId="0" fontId="6" fillId="8" borderId="8" xfId="6" applyFont="1" applyFill="1" applyBorder="1" applyAlignment="1">
      <alignment horizontal="center" vertical="center"/>
    </xf>
    <xf numFmtId="0" fontId="6" fillId="8" borderId="2" xfId="6" applyFont="1" applyFill="1" applyAlignment="1">
      <alignment horizontal="center" vertical="center"/>
    </xf>
    <xf numFmtId="0" fontId="8" fillId="8" borderId="2" xfId="6" applyFont="1" applyFill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8" fillId="8" borderId="2" xfId="4" applyFont="1" applyFill="1" applyBorder="1" applyAlignment="1">
      <alignment horizontal="center"/>
    </xf>
    <xf numFmtId="0" fontId="8" fillId="8" borderId="2" xfId="3" applyFont="1" applyFill="1" applyBorder="1" applyAlignment="1">
      <alignment horizontal="center"/>
    </xf>
    <xf numFmtId="0" fontId="6" fillId="8" borderId="2" xfId="5" applyFont="1" applyFill="1" applyBorder="1" applyAlignment="1">
      <alignment horizontal="center" wrapText="1"/>
    </xf>
    <xf numFmtId="0" fontId="9" fillId="8" borderId="2" xfId="0" applyFont="1" applyFill="1" applyBorder="1" applyAlignment="1">
      <alignment horizontal="right" vertical="center"/>
    </xf>
    <xf numFmtId="0" fontId="9" fillId="8" borderId="9" xfId="0" applyFont="1" applyFill="1" applyBorder="1" applyAlignment="1">
      <alignment horizontal="left" vertical="center"/>
    </xf>
    <xf numFmtId="0" fontId="6" fillId="8" borderId="10" xfId="6" applyFont="1" applyFill="1" applyBorder="1" applyAlignment="1">
      <alignment horizontal="center" vertical="center"/>
    </xf>
    <xf numFmtId="0" fontId="6" fillId="8" borderId="11" xfId="6" applyFont="1" applyFill="1" applyBorder="1" applyAlignment="1">
      <alignment horizontal="center" vertical="center"/>
    </xf>
    <xf numFmtId="0" fontId="6" fillId="8" borderId="11" xfId="6" applyFont="1" applyFill="1" applyBorder="1" applyAlignment="1">
      <alignment horizontal="left"/>
    </xf>
    <xf numFmtId="0" fontId="8" fillId="8" borderId="11" xfId="6" applyFont="1" applyFill="1" applyBorder="1" applyAlignment="1">
      <alignment horizontal="center" vertical="center"/>
    </xf>
    <xf numFmtId="0" fontId="8" fillId="8" borderId="11" xfId="1" applyFont="1" applyFill="1" applyBorder="1" applyAlignment="1">
      <alignment horizontal="center" vertical="center"/>
    </xf>
    <xf numFmtId="0" fontId="8" fillId="8" borderId="11" xfId="4" applyFont="1" applyFill="1" applyBorder="1" applyAlignment="1">
      <alignment horizontal="center"/>
    </xf>
    <xf numFmtId="0" fontId="8" fillId="8" borderId="11" xfId="3" applyFont="1" applyFill="1" applyBorder="1" applyAlignment="1">
      <alignment horizontal="center"/>
    </xf>
    <xf numFmtId="0" fontId="6" fillId="8" borderId="11" xfId="5" applyFont="1" applyFill="1" applyBorder="1" applyAlignment="1">
      <alignment horizontal="center" wrapText="1"/>
    </xf>
    <xf numFmtId="0" fontId="9" fillId="8" borderId="11" xfId="0" applyFont="1" applyFill="1" applyBorder="1" applyAlignment="1">
      <alignment horizontal="right" vertical="center"/>
    </xf>
    <xf numFmtId="0" fontId="9" fillId="8" borderId="12" xfId="0" applyFont="1" applyFill="1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7" fillId="8" borderId="6" xfId="1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left"/>
    </xf>
    <xf numFmtId="0" fontId="9" fillId="8" borderId="6" xfId="0" applyFont="1" applyFill="1" applyBorder="1" applyAlignment="1">
      <alignment horizontal="right" vertical="center"/>
    </xf>
    <xf numFmtId="0" fontId="9" fillId="8" borderId="7" xfId="0" applyFont="1" applyFill="1" applyBorder="1" applyAlignment="1">
      <alignment horizontal="left" vertical="top"/>
    </xf>
    <xf numFmtId="0" fontId="8" fillId="8" borderId="2" xfId="0" applyFont="1" applyFill="1" applyBorder="1" applyAlignment="1">
      <alignment horizontal="left"/>
    </xf>
    <xf numFmtId="0" fontId="9" fillId="8" borderId="9" xfId="0" applyFont="1" applyFill="1" applyBorder="1" applyAlignment="1">
      <alignment horizontal="left" vertical="top"/>
    </xf>
    <xf numFmtId="0" fontId="8" fillId="8" borderId="2" xfId="0" applyFont="1" applyFill="1" applyBorder="1" applyAlignment="1">
      <alignment horizontal="center"/>
    </xf>
    <xf numFmtId="0" fontId="7" fillId="8" borderId="11" xfId="1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left"/>
    </xf>
    <xf numFmtId="0" fontId="8" fillId="8" borderId="11" xfId="0" applyFont="1" applyFill="1" applyBorder="1" applyAlignment="1">
      <alignment horizontal="right"/>
    </xf>
    <xf numFmtId="0" fontId="8" fillId="8" borderId="12" xfId="0" applyFont="1" applyFill="1" applyBorder="1" applyAlignment="1">
      <alignment horizontal="left" vertical="top"/>
    </xf>
    <xf numFmtId="0" fontId="8" fillId="8" borderId="6" xfId="0" applyFont="1" applyFill="1" applyBorder="1"/>
    <xf numFmtId="0" fontId="9" fillId="8" borderId="6" xfId="0" applyFont="1" applyFill="1" applyBorder="1" applyAlignment="1">
      <alignment horizontal="right"/>
    </xf>
    <xf numFmtId="0" fontId="9" fillId="8" borderId="7" xfId="0" applyFont="1" applyFill="1" applyBorder="1" applyAlignment="1">
      <alignment vertical="center"/>
    </xf>
    <xf numFmtId="0" fontId="9" fillId="8" borderId="9" xfId="0" applyFont="1" applyFill="1" applyBorder="1" applyAlignment="1">
      <alignment vertical="center"/>
    </xf>
    <xf numFmtId="0" fontId="11" fillId="8" borderId="11" xfId="0" applyFont="1" applyFill="1" applyBorder="1" applyAlignment="1">
      <alignment horizontal="right"/>
    </xf>
    <xf numFmtId="0" fontId="11" fillId="8" borderId="12" xfId="0" applyFont="1" applyFill="1" applyBorder="1" applyAlignment="1">
      <alignment vertical="center"/>
    </xf>
    <xf numFmtId="0" fontId="6" fillId="7" borderId="0" xfId="6" applyFont="1" applyFill="1" applyBorder="1" applyAlignment="1">
      <alignment horizontal="center" vertical="center"/>
    </xf>
    <xf numFmtId="0" fontId="7" fillId="7" borderId="0" xfId="1" applyFont="1" applyFill="1" applyBorder="1" applyAlignment="1">
      <alignment horizontal="center" vertical="center"/>
    </xf>
    <xf numFmtId="0" fontId="8" fillId="7" borderId="0" xfId="0" applyFont="1" applyFill="1" applyAlignment="1">
      <alignment horizontal="left"/>
    </xf>
    <xf numFmtId="0" fontId="8" fillId="7" borderId="0" xfId="6" applyFont="1" applyFill="1" applyBorder="1" applyAlignment="1">
      <alignment horizontal="center" vertical="center"/>
    </xf>
    <xf numFmtId="0" fontId="8" fillId="7" borderId="0" xfId="1" applyFont="1" applyFill="1" applyBorder="1" applyAlignment="1">
      <alignment horizontal="center" vertical="center"/>
    </xf>
    <xf numFmtId="0" fontId="8" fillId="7" borderId="0" xfId="4" applyFont="1" applyFill="1" applyBorder="1" applyAlignment="1">
      <alignment horizontal="center"/>
    </xf>
    <xf numFmtId="0" fontId="8" fillId="7" borderId="0" xfId="3" applyFont="1" applyFill="1" applyBorder="1" applyAlignment="1">
      <alignment horizontal="center"/>
    </xf>
    <xf numFmtId="0" fontId="6" fillId="7" borderId="0" xfId="5" applyFont="1" applyFill="1" applyBorder="1" applyAlignment="1">
      <alignment horizontal="center" wrapText="1"/>
    </xf>
    <xf numFmtId="0" fontId="11" fillId="7" borderId="0" xfId="0" applyFont="1" applyFill="1" applyAlignment="1">
      <alignment horizontal="center" vertical="center"/>
    </xf>
    <xf numFmtId="0" fontId="11" fillId="7" borderId="0" xfId="0" applyFont="1" applyFill="1" applyAlignment="1">
      <alignment vertical="center"/>
    </xf>
    <xf numFmtId="0" fontId="9" fillId="8" borderId="7" xfId="0" applyFont="1" applyFill="1" applyBorder="1" applyAlignment="1">
      <alignment vertical="top"/>
    </xf>
    <xf numFmtId="0" fontId="9" fillId="8" borderId="9" xfId="0" applyFont="1" applyFill="1" applyBorder="1" applyAlignment="1">
      <alignment vertical="top"/>
    </xf>
    <xf numFmtId="0" fontId="8" fillId="8" borderId="11" xfId="0" applyFont="1" applyFill="1" applyBorder="1"/>
    <xf numFmtId="0" fontId="8" fillId="8" borderId="11" xfId="0" applyFont="1" applyFill="1" applyBorder="1" applyAlignment="1">
      <alignment horizontal="center"/>
    </xf>
    <xf numFmtId="0" fontId="9" fillId="8" borderId="12" xfId="0" applyFont="1" applyFill="1" applyBorder="1" applyAlignment="1">
      <alignment vertical="top"/>
    </xf>
    <xf numFmtId="0" fontId="9" fillId="8" borderId="7" xfId="0" applyFont="1" applyFill="1" applyBorder="1" applyAlignment="1">
      <alignment horizontal="left" vertical="center" indent="1"/>
    </xf>
    <xf numFmtId="0" fontId="9" fillId="8" borderId="9" xfId="0" applyFont="1" applyFill="1" applyBorder="1" applyAlignment="1">
      <alignment horizontal="left" vertical="center" indent="1"/>
    </xf>
    <xf numFmtId="0" fontId="8" fillId="8" borderId="1" xfId="6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left" vertical="center" indent="1"/>
    </xf>
    <xf numFmtId="0" fontId="8" fillId="7" borderId="0" xfId="0" applyFont="1" applyFill="1"/>
    <xf numFmtId="0" fontId="9" fillId="7" borderId="0" xfId="0" applyFont="1" applyFill="1" applyAlignment="1">
      <alignment horizontal="right" vertical="center"/>
    </xf>
    <xf numFmtId="0" fontId="9" fillId="7" borderId="0" xfId="0" applyFont="1" applyFill="1" applyAlignment="1">
      <alignment horizontal="left" vertical="center" indent="1"/>
    </xf>
    <xf numFmtId="0" fontId="6" fillId="8" borderId="13" xfId="6" applyFont="1" applyFill="1" applyBorder="1" applyAlignment="1">
      <alignment horizontal="center" vertical="center"/>
    </xf>
    <xf numFmtId="0" fontId="7" fillId="8" borderId="5" xfId="1" applyFont="1" applyFill="1" applyBorder="1" applyAlignment="1">
      <alignment horizontal="center" vertical="center"/>
    </xf>
    <xf numFmtId="0" fontId="6" fillId="8" borderId="3" xfId="6" applyFont="1" applyFill="1" applyBorder="1" applyAlignment="1">
      <alignment horizontal="center" vertical="center"/>
    </xf>
    <xf numFmtId="0" fontId="7" fillId="8" borderId="8" xfId="1" applyFont="1" applyFill="1" applyBorder="1" applyAlignment="1">
      <alignment horizontal="center" vertical="center"/>
    </xf>
    <xf numFmtId="0" fontId="6" fillId="8" borderId="14" xfId="6" applyFont="1" applyFill="1" applyBorder="1" applyAlignment="1">
      <alignment horizontal="center" vertical="center"/>
    </xf>
    <xf numFmtId="0" fontId="7" fillId="8" borderId="10" xfId="1" applyFont="1" applyFill="1" applyBorder="1" applyAlignment="1">
      <alignment horizontal="center" vertical="center"/>
    </xf>
    <xf numFmtId="0" fontId="6" fillId="7" borderId="15" xfId="6" applyFont="1" applyFill="1" applyBorder="1" applyAlignment="1">
      <alignment horizontal="center" vertical="center"/>
    </xf>
    <xf numFmtId="0" fontId="7" fillId="7" borderId="15" xfId="1" applyFont="1" applyFill="1" applyBorder="1" applyAlignment="1">
      <alignment horizontal="center" vertical="center"/>
    </xf>
    <xf numFmtId="0" fontId="8" fillId="7" borderId="15" xfId="6" applyFont="1" applyFill="1" applyBorder="1" applyAlignment="1">
      <alignment horizontal="center" vertical="center"/>
    </xf>
    <xf numFmtId="0" fontId="8" fillId="7" borderId="15" xfId="1" applyFont="1" applyFill="1" applyBorder="1" applyAlignment="1">
      <alignment horizontal="center" vertical="center"/>
    </xf>
    <xf numFmtId="0" fontId="8" fillId="7" borderId="15" xfId="4" applyFont="1" applyFill="1" applyBorder="1" applyAlignment="1">
      <alignment horizontal="center"/>
    </xf>
    <xf numFmtId="0" fontId="8" fillId="7" borderId="15" xfId="3" applyFont="1" applyFill="1" applyBorder="1" applyAlignment="1">
      <alignment horizontal="center"/>
    </xf>
    <xf numFmtId="0" fontId="6" fillId="7" borderId="15" xfId="5" applyFont="1" applyFill="1" applyBorder="1" applyAlignment="1">
      <alignment horizontal="center" wrapText="1"/>
    </xf>
    <xf numFmtId="0" fontId="9" fillId="7" borderId="16" xfId="0" applyFont="1" applyFill="1" applyBorder="1" applyAlignment="1">
      <alignment horizontal="right" vertical="center"/>
    </xf>
    <xf numFmtId="0" fontId="9" fillId="7" borderId="16" xfId="0" applyFont="1" applyFill="1" applyBorder="1" applyAlignment="1">
      <alignment horizontal="left" vertical="center" indent="1"/>
    </xf>
    <xf numFmtId="0" fontId="6" fillId="7" borderId="17" xfId="6" applyFont="1" applyFill="1" applyBorder="1" applyAlignment="1">
      <alignment horizontal="center" vertical="center"/>
    </xf>
    <xf numFmtId="0" fontId="6" fillId="7" borderId="4" xfId="6" applyFont="1" applyFill="1" applyBorder="1" applyAlignment="1">
      <alignment horizontal="center" vertical="center"/>
    </xf>
    <xf numFmtId="0" fontId="8" fillId="7" borderId="15" xfId="0" applyFont="1" applyFill="1" applyBorder="1"/>
    <xf numFmtId="0" fontId="9" fillId="7" borderId="15" xfId="0" applyFont="1" applyFill="1" applyBorder="1" applyAlignment="1">
      <alignment horizontal="right" vertical="center"/>
    </xf>
    <xf numFmtId="0" fontId="9" fillId="7" borderId="18" xfId="0" applyFont="1" applyFill="1" applyBorder="1" applyAlignment="1">
      <alignment horizontal="left" vertical="center" indent="1"/>
    </xf>
    <xf numFmtId="0" fontId="11" fillId="8" borderId="2" xfId="0" applyFont="1" applyFill="1" applyBorder="1" applyAlignment="1">
      <alignment horizontal="right" vertical="center"/>
    </xf>
    <xf numFmtId="0" fontId="11" fillId="8" borderId="9" xfId="0" applyFont="1" applyFill="1" applyBorder="1" applyAlignment="1">
      <alignment horizontal="left" vertical="top"/>
    </xf>
    <xf numFmtId="0" fontId="9" fillId="8" borderId="12" xfId="0" applyFont="1" applyFill="1" applyBorder="1" applyAlignment="1">
      <alignment horizontal="left" vertical="top"/>
    </xf>
    <xf numFmtId="0" fontId="6" fillId="0" borderId="0" xfId="6" applyFont="1" applyBorder="1" applyAlignment="1">
      <alignment horizontal="center" vertical="center"/>
    </xf>
    <xf numFmtId="0" fontId="8" fillId="0" borderId="0" xfId="0" applyFont="1" applyAlignment="1">
      <alignment horizontal="left" vertical="top"/>
    </xf>
    <xf numFmtId="0" fontId="8" fillId="8" borderId="7" xfId="0" applyFont="1" applyFill="1" applyBorder="1" applyAlignment="1">
      <alignment horizontal="left" vertical="top"/>
    </xf>
    <xf numFmtId="0" fontId="8" fillId="8" borderId="8" xfId="0" applyFont="1" applyFill="1" applyBorder="1" applyAlignment="1">
      <alignment horizontal="center"/>
    </xf>
    <xf numFmtId="0" fontId="9" fillId="8" borderId="2" xfId="0" applyFont="1" applyFill="1" applyBorder="1" applyAlignment="1">
      <alignment horizontal="right"/>
    </xf>
    <xf numFmtId="0" fontId="11" fillId="8" borderId="2" xfId="0" applyFont="1" applyFill="1" applyBorder="1" applyAlignment="1">
      <alignment horizontal="right"/>
    </xf>
    <xf numFmtId="0" fontId="8" fillId="8" borderId="11" xfId="5" applyFont="1" applyFill="1" applyBorder="1" applyAlignment="1">
      <alignment horizontal="center"/>
    </xf>
    <xf numFmtId="0" fontId="8" fillId="8" borderId="6" xfId="4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11" xfId="4" applyFont="1" applyFill="1" applyBorder="1" applyAlignment="1">
      <alignment horizontal="center" vertical="center"/>
    </xf>
    <xf numFmtId="0" fontId="8" fillId="7" borderId="0" xfId="5" applyFont="1" applyFill="1" applyBorder="1" applyAlignment="1">
      <alignment horizontal="center"/>
    </xf>
    <xf numFmtId="0" fontId="6" fillId="7" borderId="0" xfId="6" applyFont="1" applyFill="1" applyBorder="1" applyAlignment="1">
      <alignment vertical="top"/>
    </xf>
    <xf numFmtId="0" fontId="6" fillId="6" borderId="2" xfId="6" applyFont="1" applyFill="1" applyAlignment="1">
      <alignment horizontal="center" vertical="center"/>
    </xf>
    <xf numFmtId="0" fontId="6" fillId="0" borderId="2" xfId="6" applyFont="1" applyAlignment="1">
      <alignment horizontal="center" vertical="center"/>
    </xf>
    <xf numFmtId="0" fontId="6" fillId="7" borderId="2" xfId="6" applyFont="1" applyFill="1" applyAlignment="1">
      <alignment horizontal="center" vertical="center"/>
    </xf>
    <xf numFmtId="0" fontId="8" fillId="0" borderId="2" xfId="6" applyFont="1" applyAlignment="1">
      <alignment horizontal="center" vertical="center"/>
    </xf>
    <xf numFmtId="0" fontId="8" fillId="0" borderId="2" xfId="0" applyFont="1" applyBorder="1" applyAlignment="1">
      <alignment vertical="top"/>
    </xf>
    <xf numFmtId="0" fontId="6" fillId="8" borderId="2" xfId="6" applyFont="1" applyFill="1" applyAlignment="1">
      <alignment horizontal="left" vertical="top"/>
    </xf>
    <xf numFmtId="0" fontId="6" fillId="8" borderId="2" xfId="6" applyFont="1" applyFill="1" applyAlignment="1">
      <alignment horizontal="left" vertical="center"/>
    </xf>
    <xf numFmtId="0" fontId="6" fillId="8" borderId="2" xfId="6" applyFont="1" applyFill="1" applyAlignment="1">
      <alignment vertical="top"/>
    </xf>
    <xf numFmtId="0" fontId="8" fillId="8" borderId="2" xfId="0" applyFont="1" applyFill="1" applyBorder="1" applyAlignment="1">
      <alignment horizontal="right"/>
    </xf>
    <xf numFmtId="0" fontId="13" fillId="7" borderId="19" xfId="0" applyFont="1" applyFill="1" applyBorder="1" applyAlignment="1">
      <alignment horizontal="left" vertical="center"/>
    </xf>
    <xf numFmtId="0" fontId="13" fillId="7" borderId="19" xfId="0" applyFont="1" applyFill="1" applyBorder="1" applyAlignment="1">
      <alignment horizontal="right"/>
    </xf>
    <xf numFmtId="0" fontId="8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right"/>
    </xf>
    <xf numFmtId="0" fontId="6" fillId="9" borderId="2" xfId="6" applyFont="1" applyFill="1" applyAlignment="1">
      <alignment horizontal="left"/>
    </xf>
    <xf numFmtId="0" fontId="14" fillId="10" borderId="19" xfId="0" applyFont="1" applyFill="1" applyBorder="1" applyAlignment="1">
      <alignment horizontal="center" vertical="center"/>
    </xf>
    <xf numFmtId="0" fontId="14" fillId="10" borderId="19" xfId="0" applyFont="1" applyFill="1" applyBorder="1" applyAlignment="1">
      <alignment horizontal="left" vertical="center" indent="1"/>
    </xf>
    <xf numFmtId="0" fontId="14" fillId="7" borderId="19" xfId="0" applyFont="1" applyFill="1" applyBorder="1" applyAlignment="1">
      <alignment horizontal="left" vertical="center" indent="1"/>
    </xf>
    <xf numFmtId="0" fontId="14" fillId="7" borderId="19" xfId="0" applyFont="1" applyFill="1" applyBorder="1" applyAlignment="1">
      <alignment horizontal="right" vertical="center"/>
    </xf>
    <xf numFmtId="0" fontId="13" fillId="7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0" fillId="11" borderId="2" xfId="0" applyFill="1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 vertical="top"/>
    </xf>
    <xf numFmtId="0" fontId="13" fillId="7" borderId="2" xfId="0" applyFont="1" applyFill="1" applyBorder="1" applyAlignment="1">
      <alignment horizontal="left" vertical="top"/>
    </xf>
    <xf numFmtId="0" fontId="14" fillId="7" borderId="2" xfId="0" applyFont="1" applyFill="1" applyBorder="1" applyAlignment="1">
      <alignment horizontal="left" vertical="top"/>
    </xf>
  </cellXfs>
  <cellStyles count="7">
    <cellStyle name="%20 - Vurgu6" xfId="3" builtinId="50"/>
    <cellStyle name="%40 - Vurgu6" xfId="4" builtinId="51"/>
    <cellStyle name="%60 - Vurgu6" xfId="5" builtinId="52"/>
    <cellStyle name="Açıklama Metni" xfId="1" builtinId="53"/>
    <cellStyle name="Normal" xfId="0" builtinId="0"/>
    <cellStyle name="Style 1" xfId="6" xr:uid="{A618579B-D14A-4CC1-B715-F73897FE84A6}"/>
    <cellStyle name="Vurgu6" xfId="2" builtinId="4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AF553-B2BE-434B-815E-2237E97F6704}">
  <dimension ref="A1:L94"/>
  <sheetViews>
    <sheetView tabSelected="1" workbookViewId="0">
      <selection activeCell="E94" sqref="E94"/>
    </sheetView>
  </sheetViews>
  <sheetFormatPr defaultRowHeight="14.4"/>
  <cols>
    <col min="1" max="1" width="20" customWidth="1"/>
    <col min="2" max="2" width="17.6640625" customWidth="1"/>
    <col min="3" max="3" width="16.6640625" customWidth="1"/>
    <col min="4" max="4" width="15.33203125" customWidth="1"/>
    <col min="5" max="5" width="35.88671875" customWidth="1"/>
    <col min="6" max="6" width="14.33203125" customWidth="1"/>
    <col min="7" max="7" width="15.109375" customWidth="1"/>
    <col min="8" max="8" width="10.33203125" customWidth="1"/>
    <col min="11" max="11" width="16.109375" customWidth="1"/>
    <col min="12" max="12" width="118.44140625" customWidth="1"/>
    <col min="13" max="13" width="17.88671875" customWidth="1"/>
  </cols>
  <sheetData>
    <row r="1" spans="1:12" ht="27.6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</row>
    <row r="2" spans="1:12">
      <c r="A2" s="129" t="s">
        <v>12</v>
      </c>
      <c r="B2" s="130" t="s">
        <v>13</v>
      </c>
      <c r="C2" s="131" t="s">
        <v>14</v>
      </c>
      <c r="D2" s="4" t="s">
        <v>15</v>
      </c>
      <c r="E2" s="5" t="s">
        <v>16</v>
      </c>
      <c r="F2" s="6" t="s">
        <v>17</v>
      </c>
      <c r="G2" s="7" t="s">
        <v>18</v>
      </c>
      <c r="H2" s="8">
        <v>1</v>
      </c>
      <c r="I2" s="9">
        <v>0</v>
      </c>
      <c r="J2" s="10">
        <v>1</v>
      </c>
      <c r="K2" s="11" t="s">
        <v>19</v>
      </c>
      <c r="L2" s="12" t="s">
        <v>20</v>
      </c>
    </row>
    <row r="3" spans="1:12">
      <c r="A3" s="129" t="s">
        <v>12</v>
      </c>
      <c r="B3" s="130" t="s">
        <v>21</v>
      </c>
      <c r="C3" s="131" t="s">
        <v>14</v>
      </c>
      <c r="D3" s="4" t="s">
        <v>15</v>
      </c>
      <c r="E3" s="134" t="s">
        <v>22</v>
      </c>
      <c r="F3" s="6" t="s">
        <v>17</v>
      </c>
      <c r="G3" s="7" t="s">
        <v>18</v>
      </c>
      <c r="H3" s="8">
        <v>1</v>
      </c>
      <c r="I3" s="9">
        <v>0</v>
      </c>
      <c r="J3" s="10">
        <v>1</v>
      </c>
      <c r="K3" s="13" t="s">
        <v>23</v>
      </c>
      <c r="L3" s="14" t="s">
        <v>24</v>
      </c>
    </row>
    <row r="4" spans="1:12" ht="15" thickBot="1">
      <c r="A4" s="129" t="s">
        <v>12</v>
      </c>
      <c r="B4" s="130" t="s">
        <v>25</v>
      </c>
      <c r="C4" s="131" t="s">
        <v>14</v>
      </c>
      <c r="D4" s="4" t="s">
        <v>15</v>
      </c>
      <c r="E4" s="135" t="s">
        <v>26</v>
      </c>
      <c r="F4" s="130" t="s">
        <v>27</v>
      </c>
      <c r="G4" s="7" t="s">
        <v>18</v>
      </c>
      <c r="H4" s="8">
        <v>1</v>
      </c>
      <c r="I4" s="9">
        <v>0</v>
      </c>
      <c r="J4" s="10">
        <v>1</v>
      </c>
      <c r="K4" s="13" t="s">
        <v>28</v>
      </c>
      <c r="L4" s="14" t="s">
        <v>29</v>
      </c>
    </row>
    <row r="5" spans="1:12" ht="15" thickBot="1">
      <c r="A5" s="129" t="s">
        <v>12</v>
      </c>
      <c r="B5" s="130" t="s">
        <v>30</v>
      </c>
      <c r="C5" s="131" t="s">
        <v>14</v>
      </c>
      <c r="D5" s="4" t="s">
        <v>15</v>
      </c>
      <c r="E5" s="18" t="s">
        <v>289</v>
      </c>
      <c r="F5" s="132" t="s">
        <v>27</v>
      </c>
      <c r="G5" s="7" t="s">
        <v>18</v>
      </c>
      <c r="H5" s="8">
        <v>1</v>
      </c>
      <c r="I5" s="9">
        <v>0</v>
      </c>
      <c r="J5" s="19">
        <f>I5+H5</f>
        <v>1</v>
      </c>
      <c r="K5" s="139" t="s">
        <v>287</v>
      </c>
      <c r="L5" s="138" t="s">
        <v>288</v>
      </c>
    </row>
    <row r="6" spans="1:12" ht="15" thickBot="1">
      <c r="A6" s="129" t="s">
        <v>12</v>
      </c>
      <c r="B6" s="130" t="s">
        <v>34</v>
      </c>
      <c r="C6" s="131" t="s">
        <v>14</v>
      </c>
      <c r="D6" s="4" t="s">
        <v>15</v>
      </c>
      <c r="E6" s="136" t="s">
        <v>31</v>
      </c>
      <c r="F6" s="132" t="s">
        <v>27</v>
      </c>
      <c r="G6" s="7" t="s">
        <v>18</v>
      </c>
      <c r="H6" s="8">
        <v>1</v>
      </c>
      <c r="I6" s="9">
        <v>0</v>
      </c>
      <c r="J6" s="19">
        <f>I6+H6</f>
        <v>1</v>
      </c>
      <c r="K6" s="11" t="s">
        <v>32</v>
      </c>
      <c r="L6" s="15" t="s">
        <v>33</v>
      </c>
    </row>
    <row r="7" spans="1:12" ht="15" thickBot="1">
      <c r="A7" s="129" t="s">
        <v>12</v>
      </c>
      <c r="B7" s="130" t="s">
        <v>38</v>
      </c>
      <c r="C7" s="131" t="s">
        <v>14</v>
      </c>
      <c r="D7" s="4" t="s">
        <v>15</v>
      </c>
      <c r="E7" s="136" t="s">
        <v>307</v>
      </c>
      <c r="F7" s="132" t="s">
        <v>27</v>
      </c>
      <c r="G7" s="7" t="s">
        <v>18</v>
      </c>
      <c r="H7" s="8">
        <v>1</v>
      </c>
      <c r="I7" s="9">
        <v>0</v>
      </c>
      <c r="J7" s="19">
        <v>1</v>
      </c>
      <c r="K7" s="146" t="s">
        <v>305</v>
      </c>
      <c r="L7" s="145" t="s">
        <v>306</v>
      </c>
    </row>
    <row r="8" spans="1:12">
      <c r="A8" s="129" t="s">
        <v>12</v>
      </c>
      <c r="B8" s="130" t="s">
        <v>42</v>
      </c>
      <c r="C8" s="131" t="s">
        <v>14</v>
      </c>
      <c r="D8" s="4" t="s">
        <v>15</v>
      </c>
      <c r="E8" s="136" t="s">
        <v>49</v>
      </c>
      <c r="F8" s="6" t="s">
        <v>17</v>
      </c>
      <c r="G8" s="7" t="s">
        <v>18</v>
      </c>
      <c r="H8" s="8">
        <v>1</v>
      </c>
      <c r="I8" s="9">
        <v>0</v>
      </c>
      <c r="J8" s="19">
        <f>I8+H8</f>
        <v>1</v>
      </c>
      <c r="K8" s="16" t="s">
        <v>50</v>
      </c>
      <c r="L8" s="17" t="s">
        <v>51</v>
      </c>
    </row>
    <row r="9" spans="1:12">
      <c r="A9" s="129" t="s">
        <v>12</v>
      </c>
      <c r="B9" s="130" t="s">
        <v>43</v>
      </c>
      <c r="C9" s="131" t="s">
        <v>14</v>
      </c>
      <c r="D9" s="4" t="s">
        <v>15</v>
      </c>
      <c r="E9" s="136" t="s">
        <v>45</v>
      </c>
      <c r="F9" s="6" t="s">
        <v>17</v>
      </c>
      <c r="G9" s="7" t="s">
        <v>18</v>
      </c>
      <c r="H9" s="8">
        <v>1</v>
      </c>
      <c r="I9" s="9">
        <v>0</v>
      </c>
      <c r="J9" s="10">
        <v>1</v>
      </c>
      <c r="K9" s="16" t="s">
        <v>46</v>
      </c>
      <c r="L9" s="17" t="s">
        <v>47</v>
      </c>
    </row>
    <row r="10" spans="1:12">
      <c r="A10" s="129" t="s">
        <v>12</v>
      </c>
      <c r="B10" s="130" t="s">
        <v>44</v>
      </c>
      <c r="C10" s="131" t="s">
        <v>14</v>
      </c>
      <c r="D10" s="4" t="s">
        <v>15</v>
      </c>
      <c r="E10" s="136" t="s">
        <v>35</v>
      </c>
      <c r="F10" s="132" t="s">
        <v>27</v>
      </c>
      <c r="G10" s="7" t="s">
        <v>18</v>
      </c>
      <c r="H10" s="8">
        <v>1</v>
      </c>
      <c r="I10" s="9">
        <v>0</v>
      </c>
      <c r="J10" s="10">
        <v>1</v>
      </c>
      <c r="K10" s="11" t="s">
        <v>36</v>
      </c>
      <c r="L10" s="15" t="s">
        <v>37</v>
      </c>
    </row>
    <row r="11" spans="1:12">
      <c r="A11" s="129" t="s">
        <v>12</v>
      </c>
      <c r="B11" s="130" t="s">
        <v>48</v>
      </c>
      <c r="C11" s="131" t="s">
        <v>14</v>
      </c>
      <c r="D11" s="4" t="s">
        <v>15</v>
      </c>
      <c r="E11" s="136" t="s">
        <v>39</v>
      </c>
      <c r="F11" s="132" t="s">
        <v>27</v>
      </c>
      <c r="G11" s="7" t="s">
        <v>18</v>
      </c>
      <c r="H11" s="8">
        <v>1</v>
      </c>
      <c r="I11" s="9">
        <v>0</v>
      </c>
      <c r="J11" s="10">
        <v>1</v>
      </c>
      <c r="K11" s="16" t="s">
        <v>40</v>
      </c>
      <c r="L11" s="17" t="s">
        <v>41</v>
      </c>
    </row>
    <row r="12" spans="1:12">
      <c r="A12" s="129" t="s">
        <v>12</v>
      </c>
      <c r="B12" s="130" t="s">
        <v>52</v>
      </c>
      <c r="C12" s="131" t="s">
        <v>14</v>
      </c>
      <c r="D12" s="4" t="s">
        <v>15</v>
      </c>
      <c r="E12" s="136" t="s">
        <v>53</v>
      </c>
      <c r="F12" s="132" t="s">
        <v>27</v>
      </c>
      <c r="G12" s="7" t="s">
        <v>18</v>
      </c>
      <c r="H12" s="8">
        <v>1</v>
      </c>
      <c r="I12" s="9">
        <v>0</v>
      </c>
      <c r="J12" s="10">
        <v>1</v>
      </c>
      <c r="K12" s="16" t="s">
        <v>54</v>
      </c>
      <c r="L12" s="17" t="s">
        <v>55</v>
      </c>
    </row>
    <row r="13" spans="1:12">
      <c r="A13" s="129" t="s">
        <v>12</v>
      </c>
      <c r="B13" s="130" t="s">
        <v>56</v>
      </c>
      <c r="C13" s="131" t="s">
        <v>14</v>
      </c>
      <c r="D13" s="4" t="s">
        <v>15</v>
      </c>
      <c r="E13" s="136" t="s">
        <v>57</v>
      </c>
      <c r="F13" s="6" t="s">
        <v>17</v>
      </c>
      <c r="G13" s="7" t="s">
        <v>18</v>
      </c>
      <c r="H13" s="8">
        <v>1</v>
      </c>
      <c r="I13" s="9">
        <v>0</v>
      </c>
      <c r="J13" s="10">
        <v>1</v>
      </c>
      <c r="K13" s="16" t="s">
        <v>58</v>
      </c>
      <c r="L13" s="17" t="s">
        <v>59</v>
      </c>
    </row>
    <row r="14" spans="1:12">
      <c r="A14" s="72"/>
      <c r="B14" s="72"/>
      <c r="C14" s="72"/>
      <c r="D14" s="73"/>
      <c r="E14" s="128"/>
      <c r="F14" s="140"/>
      <c r="G14" s="76"/>
      <c r="H14" s="77"/>
      <c r="I14" s="78"/>
      <c r="J14" s="127"/>
      <c r="K14" s="141"/>
      <c r="L14" s="91"/>
    </row>
    <row r="15" spans="1:12">
      <c r="A15" s="129" t="s">
        <v>12</v>
      </c>
      <c r="B15" s="130" t="s">
        <v>60</v>
      </c>
      <c r="C15" s="131" t="s">
        <v>14</v>
      </c>
      <c r="D15" s="21" t="s">
        <v>61</v>
      </c>
      <c r="E15" s="22" t="s">
        <v>78</v>
      </c>
      <c r="F15" s="132" t="s">
        <v>27</v>
      </c>
      <c r="G15" s="7" t="s">
        <v>18</v>
      </c>
      <c r="H15" s="8">
        <v>1</v>
      </c>
      <c r="I15" s="9">
        <v>0</v>
      </c>
      <c r="J15" s="19">
        <f>I15+H15</f>
        <v>1</v>
      </c>
      <c r="K15" s="16" t="s">
        <v>79</v>
      </c>
      <c r="L15" s="17" t="s">
        <v>80</v>
      </c>
    </row>
    <row r="16" spans="1:12">
      <c r="A16" s="129" t="s">
        <v>12</v>
      </c>
      <c r="B16" s="130" t="s">
        <v>65</v>
      </c>
      <c r="C16" s="131" t="s">
        <v>14</v>
      </c>
      <c r="D16" s="21" t="s">
        <v>61</v>
      </c>
      <c r="E16" s="142" t="s">
        <v>74</v>
      </c>
      <c r="F16" s="132" t="s">
        <v>27</v>
      </c>
      <c r="G16" s="7" t="s">
        <v>18</v>
      </c>
      <c r="H16" s="8">
        <v>1</v>
      </c>
      <c r="I16" s="9">
        <v>0</v>
      </c>
      <c r="J16" s="19">
        <f>I16+H16</f>
        <v>1</v>
      </c>
      <c r="K16" s="16" t="s">
        <v>75</v>
      </c>
      <c r="L16" s="17" t="s">
        <v>76</v>
      </c>
    </row>
    <row r="17" spans="1:12">
      <c r="A17" s="129" t="s">
        <v>12</v>
      </c>
      <c r="B17" s="130" t="s">
        <v>69</v>
      </c>
      <c r="C17" s="131" t="s">
        <v>14</v>
      </c>
      <c r="D17" s="21" t="s">
        <v>61</v>
      </c>
      <c r="E17" s="142" t="s">
        <v>70</v>
      </c>
      <c r="F17" s="132" t="s">
        <v>27</v>
      </c>
      <c r="G17" s="7" t="s">
        <v>18</v>
      </c>
      <c r="H17" s="8">
        <v>1</v>
      </c>
      <c r="I17" s="9">
        <v>0</v>
      </c>
      <c r="J17" s="19">
        <f>I17+H17</f>
        <v>1</v>
      </c>
      <c r="K17" s="16" t="s">
        <v>71</v>
      </c>
      <c r="L17" s="17" t="s">
        <v>72</v>
      </c>
    </row>
    <row r="18" spans="1:12">
      <c r="A18" s="129" t="s">
        <v>12</v>
      </c>
      <c r="B18" s="130" t="s">
        <v>73</v>
      </c>
      <c r="C18" s="131" t="s">
        <v>14</v>
      </c>
      <c r="D18" s="21" t="s">
        <v>61</v>
      </c>
      <c r="E18" s="22" t="s">
        <v>66</v>
      </c>
      <c r="F18" s="132" t="s">
        <v>27</v>
      </c>
      <c r="G18" s="7" t="s">
        <v>18</v>
      </c>
      <c r="H18" s="8">
        <v>1</v>
      </c>
      <c r="I18" s="9">
        <v>0</v>
      </c>
      <c r="J18" s="19">
        <f>I18+H18</f>
        <v>1</v>
      </c>
      <c r="K18" s="11" t="s">
        <v>67</v>
      </c>
      <c r="L18" s="23" t="s">
        <v>68</v>
      </c>
    </row>
    <row r="19" spans="1:12">
      <c r="A19" s="129" t="s">
        <v>12</v>
      </c>
      <c r="B19" s="130" t="s">
        <v>77</v>
      </c>
      <c r="C19" s="131" t="s">
        <v>14</v>
      </c>
      <c r="D19" s="21" t="s">
        <v>61</v>
      </c>
      <c r="E19" s="22" t="s">
        <v>62</v>
      </c>
      <c r="F19" s="132" t="s">
        <v>27</v>
      </c>
      <c r="G19" s="7" t="s">
        <v>18</v>
      </c>
      <c r="H19" s="8">
        <v>1</v>
      </c>
      <c r="I19" s="9">
        <v>0</v>
      </c>
      <c r="J19" s="19">
        <f>I19+H19</f>
        <v>1</v>
      </c>
      <c r="K19" s="16" t="s">
        <v>63</v>
      </c>
      <c r="L19" s="133" t="s">
        <v>64</v>
      </c>
    </row>
    <row r="20" spans="1:12">
      <c r="A20" s="129" t="s">
        <v>12</v>
      </c>
      <c r="B20" s="130" t="s">
        <v>81</v>
      </c>
      <c r="C20" s="131" t="s">
        <v>14</v>
      </c>
      <c r="D20" s="21" t="s">
        <v>61</v>
      </c>
      <c r="E20" s="142" t="s">
        <v>82</v>
      </c>
      <c r="F20" s="132" t="s">
        <v>27</v>
      </c>
      <c r="G20" s="7" t="s">
        <v>18</v>
      </c>
      <c r="H20" s="8">
        <v>1</v>
      </c>
      <c r="I20" s="9">
        <v>0</v>
      </c>
      <c r="J20" s="10">
        <v>1</v>
      </c>
      <c r="K20" s="16" t="s">
        <v>83</v>
      </c>
      <c r="L20" s="17" t="s">
        <v>84</v>
      </c>
    </row>
    <row r="21" spans="1:12" ht="15" thickBot="1"/>
    <row r="22" spans="1:12">
      <c r="A22" s="24" t="s">
        <v>12</v>
      </c>
      <c r="B22" s="25" t="s">
        <v>85</v>
      </c>
      <c r="C22" s="25" t="s">
        <v>14</v>
      </c>
      <c r="D22" s="55" t="s">
        <v>61</v>
      </c>
      <c r="E22" s="26" t="s">
        <v>89</v>
      </c>
      <c r="F22" s="27" t="s">
        <v>17</v>
      </c>
      <c r="G22" s="28" t="s">
        <v>18</v>
      </c>
      <c r="H22" s="29">
        <v>1</v>
      </c>
      <c r="I22" s="30">
        <v>0</v>
      </c>
      <c r="J22" s="31">
        <f>I22+H22</f>
        <v>1</v>
      </c>
      <c r="K22" s="32" t="s">
        <v>90</v>
      </c>
      <c r="L22" s="33" t="s">
        <v>91</v>
      </c>
    </row>
    <row r="23" spans="1:12">
      <c r="A23" s="34" t="s">
        <v>12</v>
      </c>
      <c r="B23" s="35" t="s">
        <v>279</v>
      </c>
      <c r="C23" s="35" t="s">
        <v>14</v>
      </c>
      <c r="D23" s="4" t="s">
        <v>92</v>
      </c>
      <c r="E23" s="5" t="s">
        <v>89</v>
      </c>
      <c r="F23" s="36" t="s">
        <v>27</v>
      </c>
      <c r="G23" s="37" t="s">
        <v>93</v>
      </c>
      <c r="H23" s="38">
        <v>1</v>
      </c>
      <c r="I23" s="39">
        <v>0</v>
      </c>
      <c r="J23" s="40">
        <f t="shared" ref="J23:J27" si="0">I23+H23</f>
        <v>1</v>
      </c>
      <c r="K23" s="41" t="s">
        <v>94</v>
      </c>
      <c r="L23" s="42" t="s">
        <v>95</v>
      </c>
    </row>
    <row r="24" spans="1:12">
      <c r="A24" s="34" t="s">
        <v>12</v>
      </c>
      <c r="B24" s="35" t="s">
        <v>279</v>
      </c>
      <c r="C24" s="35" t="s">
        <v>14</v>
      </c>
      <c r="D24" s="4" t="s">
        <v>96</v>
      </c>
      <c r="E24" s="5" t="s">
        <v>89</v>
      </c>
      <c r="F24" s="36" t="s">
        <v>97</v>
      </c>
      <c r="G24" s="37" t="s">
        <v>93</v>
      </c>
      <c r="H24" s="38">
        <v>1</v>
      </c>
      <c r="I24" s="39">
        <v>0</v>
      </c>
      <c r="J24" s="40">
        <f t="shared" si="0"/>
        <v>1</v>
      </c>
      <c r="K24" s="41" t="s">
        <v>98</v>
      </c>
      <c r="L24" s="42" t="s">
        <v>99</v>
      </c>
    </row>
    <row r="25" spans="1:12">
      <c r="A25" s="34" t="s">
        <v>12</v>
      </c>
      <c r="B25" s="35" t="s">
        <v>279</v>
      </c>
      <c r="C25" s="35" t="s">
        <v>14</v>
      </c>
      <c r="D25" s="4" t="s">
        <v>100</v>
      </c>
      <c r="E25" s="5" t="s">
        <v>89</v>
      </c>
      <c r="F25" s="36" t="s">
        <v>97</v>
      </c>
      <c r="G25" s="37" t="s">
        <v>93</v>
      </c>
      <c r="H25" s="38">
        <v>1</v>
      </c>
      <c r="I25" s="39">
        <v>0</v>
      </c>
      <c r="J25" s="40">
        <f t="shared" si="0"/>
        <v>1</v>
      </c>
      <c r="K25" s="41" t="s">
        <v>101</v>
      </c>
      <c r="L25" s="42" t="s">
        <v>102</v>
      </c>
    </row>
    <row r="26" spans="1:12">
      <c r="A26" s="34" t="s">
        <v>12</v>
      </c>
      <c r="B26" s="35" t="s">
        <v>279</v>
      </c>
      <c r="C26" s="35" t="s">
        <v>14</v>
      </c>
      <c r="D26" s="4" t="s">
        <v>103</v>
      </c>
      <c r="E26" s="5" t="s">
        <v>89</v>
      </c>
      <c r="F26" s="36" t="s">
        <v>17</v>
      </c>
      <c r="G26" s="37" t="s">
        <v>93</v>
      </c>
      <c r="H26" s="38">
        <v>1</v>
      </c>
      <c r="I26" s="39">
        <v>0</v>
      </c>
      <c r="J26" s="40">
        <f t="shared" si="0"/>
        <v>1</v>
      </c>
      <c r="K26" s="41" t="s">
        <v>104</v>
      </c>
      <c r="L26" s="42" t="s">
        <v>105</v>
      </c>
    </row>
    <row r="27" spans="1:12">
      <c r="A27" s="34" t="s">
        <v>12</v>
      </c>
      <c r="B27" s="35" t="s">
        <v>279</v>
      </c>
      <c r="C27" s="35" t="s">
        <v>14</v>
      </c>
      <c r="D27" s="4" t="s">
        <v>106</v>
      </c>
      <c r="E27" s="5" t="s">
        <v>107</v>
      </c>
      <c r="F27" s="36" t="s">
        <v>27</v>
      </c>
      <c r="G27" s="37" t="s">
        <v>93</v>
      </c>
      <c r="H27" s="38">
        <v>1</v>
      </c>
      <c r="I27" s="39">
        <v>0</v>
      </c>
      <c r="J27" s="40">
        <f t="shared" si="0"/>
        <v>1</v>
      </c>
      <c r="K27" s="41" t="s">
        <v>108</v>
      </c>
      <c r="L27" s="42" t="s">
        <v>109</v>
      </c>
    </row>
    <row r="28" spans="1:12" ht="15" thickBot="1">
      <c r="A28" s="43" t="s">
        <v>12</v>
      </c>
      <c r="B28" s="44" t="s">
        <v>280</v>
      </c>
      <c r="C28" s="44" t="s">
        <v>14</v>
      </c>
      <c r="D28" s="62" t="s">
        <v>61</v>
      </c>
      <c r="E28" s="45" t="s">
        <v>107</v>
      </c>
      <c r="F28" s="46" t="s">
        <v>17</v>
      </c>
      <c r="G28" s="47" t="s">
        <v>18</v>
      </c>
      <c r="H28" s="48">
        <v>1</v>
      </c>
      <c r="I28" s="49">
        <v>0</v>
      </c>
      <c r="J28" s="50">
        <f>I28+H28</f>
        <v>1</v>
      </c>
      <c r="K28" s="51" t="s">
        <v>111</v>
      </c>
      <c r="L28" s="52" t="s">
        <v>112</v>
      </c>
    </row>
    <row r="29" spans="1:12" ht="15" thickBot="1">
      <c r="A29" s="20"/>
      <c r="B29" s="20"/>
      <c r="C29" s="20"/>
      <c r="D29" s="53"/>
      <c r="E29" s="20"/>
      <c r="F29" s="20"/>
      <c r="G29" s="53"/>
      <c r="H29" s="20"/>
      <c r="I29" s="20"/>
      <c r="J29" s="20"/>
      <c r="K29" s="54"/>
      <c r="L29" s="20"/>
    </row>
    <row r="30" spans="1:12">
      <c r="A30" s="24" t="s">
        <v>12</v>
      </c>
      <c r="B30" s="25" t="s">
        <v>110</v>
      </c>
      <c r="C30" s="25" t="s">
        <v>14</v>
      </c>
      <c r="D30" s="55" t="s">
        <v>61</v>
      </c>
      <c r="E30" s="56" t="s">
        <v>113</v>
      </c>
      <c r="F30" s="27" t="s">
        <v>27</v>
      </c>
      <c r="G30" s="28" t="s">
        <v>18</v>
      </c>
      <c r="H30" s="29">
        <v>1</v>
      </c>
      <c r="I30" s="30">
        <v>0</v>
      </c>
      <c r="J30" s="31">
        <f>I30+H30</f>
        <v>1</v>
      </c>
      <c r="K30" s="57" t="s">
        <v>114</v>
      </c>
      <c r="L30" s="58" t="s">
        <v>115</v>
      </c>
    </row>
    <row r="31" spans="1:12">
      <c r="A31" s="34" t="s">
        <v>12</v>
      </c>
      <c r="B31" s="35" t="s">
        <v>281</v>
      </c>
      <c r="C31" s="35" t="s">
        <v>14</v>
      </c>
      <c r="D31" s="4" t="s">
        <v>116</v>
      </c>
      <c r="E31" s="59" t="s">
        <v>113</v>
      </c>
      <c r="F31" s="36" t="s">
        <v>117</v>
      </c>
      <c r="G31" s="37" t="s">
        <v>93</v>
      </c>
      <c r="H31" s="38">
        <v>2</v>
      </c>
      <c r="I31" s="39">
        <v>0</v>
      </c>
      <c r="J31" s="40">
        <v>2</v>
      </c>
      <c r="K31" s="41" t="s">
        <v>118</v>
      </c>
      <c r="L31" s="60" t="s">
        <v>119</v>
      </c>
    </row>
    <row r="32" spans="1:12">
      <c r="A32" s="34" t="s">
        <v>12</v>
      </c>
      <c r="B32" s="35" t="s">
        <v>281</v>
      </c>
      <c r="C32" s="35" t="s">
        <v>14</v>
      </c>
      <c r="D32" s="4" t="s">
        <v>120</v>
      </c>
      <c r="E32" s="59" t="s">
        <v>113</v>
      </c>
      <c r="F32" s="61" t="s">
        <v>121</v>
      </c>
      <c r="G32" s="37" t="s">
        <v>93</v>
      </c>
      <c r="H32" s="38">
        <v>1</v>
      </c>
      <c r="I32" s="39">
        <v>0</v>
      </c>
      <c r="J32" s="40">
        <f>I32+H32</f>
        <v>1</v>
      </c>
      <c r="K32" s="41" t="s">
        <v>122</v>
      </c>
      <c r="L32" s="60" t="s">
        <v>123</v>
      </c>
    </row>
    <row r="33" spans="1:12">
      <c r="A33" s="34" t="s">
        <v>12</v>
      </c>
      <c r="B33" s="35" t="s">
        <v>281</v>
      </c>
      <c r="C33" s="35" t="s">
        <v>14</v>
      </c>
      <c r="D33" s="4" t="s">
        <v>103</v>
      </c>
      <c r="E33" s="59" t="s">
        <v>113</v>
      </c>
      <c r="F33" s="61" t="s">
        <v>121</v>
      </c>
      <c r="G33" s="37" t="s">
        <v>93</v>
      </c>
      <c r="H33" s="38">
        <v>1</v>
      </c>
      <c r="I33" s="39">
        <v>0</v>
      </c>
      <c r="J33" s="40">
        <f>I33+H33</f>
        <v>1</v>
      </c>
      <c r="K33" s="41" t="s">
        <v>124</v>
      </c>
      <c r="L33" s="60" t="s">
        <v>125</v>
      </c>
    </row>
    <row r="34" spans="1:12">
      <c r="A34" s="34" t="s">
        <v>12</v>
      </c>
      <c r="B34" s="35" t="s">
        <v>281</v>
      </c>
      <c r="C34" s="35" t="s">
        <v>14</v>
      </c>
      <c r="D34" s="4" t="s">
        <v>103</v>
      </c>
      <c r="E34" s="59" t="s">
        <v>126</v>
      </c>
      <c r="F34" s="36" t="s">
        <v>27</v>
      </c>
      <c r="G34" s="37" t="s">
        <v>93</v>
      </c>
      <c r="H34" s="38">
        <v>2</v>
      </c>
      <c r="I34" s="39">
        <v>0</v>
      </c>
      <c r="J34" s="40">
        <v>2</v>
      </c>
      <c r="K34" s="41" t="s">
        <v>127</v>
      </c>
      <c r="L34" s="60" t="s">
        <v>128</v>
      </c>
    </row>
    <row r="35" spans="1:12" ht="15" thickBot="1">
      <c r="A35" s="43" t="s">
        <v>12</v>
      </c>
      <c r="B35" s="44" t="s">
        <v>282</v>
      </c>
      <c r="C35" s="44" t="s">
        <v>14</v>
      </c>
      <c r="D35" s="62" t="s">
        <v>61</v>
      </c>
      <c r="E35" s="63" t="s">
        <v>126</v>
      </c>
      <c r="F35" s="46" t="s">
        <v>27</v>
      </c>
      <c r="G35" s="47" t="s">
        <v>18</v>
      </c>
      <c r="H35" s="48">
        <v>1</v>
      </c>
      <c r="I35" s="49">
        <v>0</v>
      </c>
      <c r="J35" s="50">
        <f>I35+H35</f>
        <v>1</v>
      </c>
      <c r="K35" s="64" t="s">
        <v>130</v>
      </c>
      <c r="L35" s="65" t="s">
        <v>131</v>
      </c>
    </row>
    <row r="36" spans="1:12" ht="15" thickBot="1">
      <c r="A36" s="20"/>
      <c r="B36" s="20"/>
      <c r="C36" s="20"/>
      <c r="D36" s="53"/>
      <c r="E36" s="20"/>
      <c r="F36" s="20"/>
      <c r="G36" s="20"/>
      <c r="H36" s="20"/>
      <c r="I36" s="20"/>
      <c r="J36" s="20"/>
      <c r="K36" s="20"/>
      <c r="L36" s="20"/>
    </row>
    <row r="37" spans="1:12">
      <c r="A37" s="24" t="s">
        <v>12</v>
      </c>
      <c r="B37" s="25" t="s">
        <v>129</v>
      </c>
      <c r="C37" s="25" t="s">
        <v>14</v>
      </c>
      <c r="D37" s="55" t="s">
        <v>61</v>
      </c>
      <c r="E37" s="66" t="s">
        <v>132</v>
      </c>
      <c r="F37" s="27" t="s">
        <v>27</v>
      </c>
      <c r="G37" s="28" t="s">
        <v>18</v>
      </c>
      <c r="H37" s="29">
        <v>1</v>
      </c>
      <c r="I37" s="30">
        <v>0</v>
      </c>
      <c r="J37" s="31">
        <f t="shared" ref="J37:J41" si="1">I37+H37</f>
        <v>1</v>
      </c>
      <c r="K37" s="67" t="s">
        <v>133</v>
      </c>
      <c r="L37" s="68" t="s">
        <v>134</v>
      </c>
    </row>
    <row r="38" spans="1:12">
      <c r="A38" s="34" t="s">
        <v>12</v>
      </c>
      <c r="B38" s="35" t="s">
        <v>283</v>
      </c>
      <c r="C38" s="35" t="s">
        <v>14</v>
      </c>
      <c r="D38" s="4" t="s">
        <v>96</v>
      </c>
      <c r="E38" s="59" t="s">
        <v>135</v>
      </c>
      <c r="F38" s="36" t="s">
        <v>27</v>
      </c>
      <c r="G38" s="37" t="s">
        <v>93</v>
      </c>
      <c r="H38" s="38">
        <v>1</v>
      </c>
      <c r="I38" s="39">
        <v>0</v>
      </c>
      <c r="J38" s="40">
        <f t="shared" si="1"/>
        <v>1</v>
      </c>
      <c r="K38" s="41" t="s">
        <v>136</v>
      </c>
      <c r="L38" s="69" t="s">
        <v>137</v>
      </c>
    </row>
    <row r="39" spans="1:12">
      <c r="A39" s="34" t="s">
        <v>12</v>
      </c>
      <c r="B39" s="35" t="s">
        <v>283</v>
      </c>
      <c r="C39" s="35" t="s">
        <v>14</v>
      </c>
      <c r="D39" s="4" t="s">
        <v>92</v>
      </c>
      <c r="E39" s="59" t="s">
        <v>135</v>
      </c>
      <c r="F39" s="36" t="s">
        <v>17</v>
      </c>
      <c r="G39" s="37" t="s">
        <v>93</v>
      </c>
      <c r="H39" s="38">
        <v>1</v>
      </c>
      <c r="I39" s="39">
        <v>0</v>
      </c>
      <c r="J39" s="40">
        <f t="shared" si="1"/>
        <v>1</v>
      </c>
      <c r="K39" s="41" t="s">
        <v>138</v>
      </c>
      <c r="L39" s="69" t="s">
        <v>139</v>
      </c>
    </row>
    <row r="40" spans="1:12">
      <c r="A40" s="34" t="s">
        <v>12</v>
      </c>
      <c r="B40" s="35" t="s">
        <v>283</v>
      </c>
      <c r="C40" s="35" t="s">
        <v>14</v>
      </c>
      <c r="D40" s="4" t="s">
        <v>120</v>
      </c>
      <c r="E40" s="59" t="s">
        <v>135</v>
      </c>
      <c r="F40" s="36" t="s">
        <v>27</v>
      </c>
      <c r="G40" s="37" t="s">
        <v>93</v>
      </c>
      <c r="H40" s="38">
        <v>1</v>
      </c>
      <c r="I40" s="39">
        <v>0</v>
      </c>
      <c r="J40" s="40">
        <f t="shared" si="1"/>
        <v>1</v>
      </c>
      <c r="K40" s="41" t="s">
        <v>140</v>
      </c>
      <c r="L40" s="69" t="s">
        <v>141</v>
      </c>
    </row>
    <row r="41" spans="1:12">
      <c r="A41" s="34" t="s">
        <v>12</v>
      </c>
      <c r="B41" s="35" t="s">
        <v>283</v>
      </c>
      <c r="C41" s="35" t="s">
        <v>14</v>
      </c>
      <c r="D41" s="4" t="s">
        <v>290</v>
      </c>
      <c r="E41" s="59" t="s">
        <v>142</v>
      </c>
      <c r="F41" s="36" t="s">
        <v>27</v>
      </c>
      <c r="G41" s="37" t="s">
        <v>93</v>
      </c>
      <c r="H41" s="38">
        <v>1</v>
      </c>
      <c r="I41" s="39">
        <v>0</v>
      </c>
      <c r="J41" s="40">
        <f t="shared" si="1"/>
        <v>1</v>
      </c>
      <c r="K41" s="41" t="s">
        <v>143</v>
      </c>
      <c r="L41" s="69" t="s">
        <v>144</v>
      </c>
    </row>
    <row r="42" spans="1:12" ht="15" thickBot="1">
      <c r="A42" s="43" t="s">
        <v>12</v>
      </c>
      <c r="B42" s="44" t="s">
        <v>284</v>
      </c>
      <c r="C42" s="44" t="s">
        <v>14</v>
      </c>
      <c r="D42" s="62" t="s">
        <v>61</v>
      </c>
      <c r="E42" s="63" t="s">
        <v>146</v>
      </c>
      <c r="F42" s="46" t="s">
        <v>27</v>
      </c>
      <c r="G42" s="47" t="s">
        <v>18</v>
      </c>
      <c r="H42" s="48">
        <v>1</v>
      </c>
      <c r="I42" s="49">
        <v>0</v>
      </c>
      <c r="J42" s="50">
        <f>I42+H42</f>
        <v>1</v>
      </c>
      <c r="K42" s="70" t="s">
        <v>147</v>
      </c>
      <c r="L42" s="71" t="s">
        <v>148</v>
      </c>
    </row>
    <row r="43" spans="1:12" ht="15" thickBot="1">
      <c r="A43" s="72"/>
      <c r="B43" s="72"/>
      <c r="C43" s="72"/>
      <c r="D43" s="73"/>
      <c r="E43" s="74"/>
      <c r="F43" s="75"/>
      <c r="G43" s="76"/>
      <c r="H43" s="77"/>
      <c r="I43" s="78"/>
      <c r="J43" s="79"/>
      <c r="K43" s="80"/>
      <c r="L43" s="81"/>
    </row>
    <row r="44" spans="1:12">
      <c r="A44" s="24" t="s">
        <v>12</v>
      </c>
      <c r="B44" s="25" t="s">
        <v>145</v>
      </c>
      <c r="C44" s="25" t="s">
        <v>14</v>
      </c>
      <c r="D44" s="55" t="s">
        <v>61</v>
      </c>
      <c r="E44" s="66" t="s">
        <v>149</v>
      </c>
      <c r="F44" s="27" t="s">
        <v>27</v>
      </c>
      <c r="G44" s="28" t="s">
        <v>18</v>
      </c>
      <c r="H44" s="29">
        <v>1</v>
      </c>
      <c r="I44" s="30">
        <v>0</v>
      </c>
      <c r="J44" s="31">
        <f t="shared" ref="J44:J48" si="2">I44+H44</f>
        <v>1</v>
      </c>
      <c r="K44" s="57" t="s">
        <v>150</v>
      </c>
      <c r="L44" s="82" t="s">
        <v>151</v>
      </c>
    </row>
    <row r="45" spans="1:12">
      <c r="A45" s="34" t="s">
        <v>12</v>
      </c>
      <c r="B45" s="35" t="s">
        <v>285</v>
      </c>
      <c r="C45" s="35" t="s">
        <v>14</v>
      </c>
      <c r="D45" s="4" t="s">
        <v>106</v>
      </c>
      <c r="E45" s="18" t="s">
        <v>149</v>
      </c>
      <c r="F45" s="36" t="s">
        <v>27</v>
      </c>
      <c r="G45" s="37" t="s">
        <v>93</v>
      </c>
      <c r="H45" s="38">
        <v>1</v>
      </c>
      <c r="I45" s="39">
        <v>0</v>
      </c>
      <c r="J45" s="40">
        <f t="shared" si="2"/>
        <v>1</v>
      </c>
      <c r="K45" s="41" t="s">
        <v>152</v>
      </c>
      <c r="L45" s="83" t="s">
        <v>153</v>
      </c>
    </row>
    <row r="46" spans="1:12">
      <c r="A46" s="34" t="s">
        <v>12</v>
      </c>
      <c r="B46" s="35" t="s">
        <v>285</v>
      </c>
      <c r="C46" s="35" t="s">
        <v>14</v>
      </c>
      <c r="D46" s="4" t="s">
        <v>103</v>
      </c>
      <c r="E46" s="18" t="s">
        <v>149</v>
      </c>
      <c r="F46" s="61" t="s">
        <v>121</v>
      </c>
      <c r="G46" s="37" t="s">
        <v>93</v>
      </c>
      <c r="H46" s="38">
        <v>1</v>
      </c>
      <c r="I46" s="39">
        <v>0</v>
      </c>
      <c r="J46" s="40">
        <f t="shared" si="2"/>
        <v>1</v>
      </c>
      <c r="K46" s="41" t="s">
        <v>154</v>
      </c>
      <c r="L46" s="83" t="s">
        <v>155</v>
      </c>
    </row>
    <row r="47" spans="1:12">
      <c r="A47" s="34" t="s">
        <v>12</v>
      </c>
      <c r="B47" s="35" t="s">
        <v>285</v>
      </c>
      <c r="C47" s="35" t="s">
        <v>14</v>
      </c>
      <c r="D47" s="4" t="s">
        <v>120</v>
      </c>
      <c r="E47" s="18" t="s">
        <v>149</v>
      </c>
      <c r="F47" s="61" t="s">
        <v>121</v>
      </c>
      <c r="G47" s="37" t="s">
        <v>93</v>
      </c>
      <c r="H47" s="38">
        <v>1</v>
      </c>
      <c r="I47" s="39">
        <v>0</v>
      </c>
      <c r="J47" s="40">
        <f t="shared" si="2"/>
        <v>1</v>
      </c>
      <c r="K47" s="41" t="s">
        <v>156</v>
      </c>
      <c r="L47" s="83" t="s">
        <v>157</v>
      </c>
    </row>
    <row r="48" spans="1:12">
      <c r="A48" s="34" t="s">
        <v>12</v>
      </c>
      <c r="B48" s="35" t="s">
        <v>285</v>
      </c>
      <c r="C48" s="35" t="s">
        <v>14</v>
      </c>
      <c r="D48" s="4" t="s">
        <v>92</v>
      </c>
      <c r="E48" s="18" t="s">
        <v>149</v>
      </c>
      <c r="F48" s="61" t="s">
        <v>117</v>
      </c>
      <c r="G48" s="37" t="s">
        <v>93</v>
      </c>
      <c r="H48" s="38">
        <v>1</v>
      </c>
      <c r="I48" s="39">
        <v>0</v>
      </c>
      <c r="J48" s="40">
        <f t="shared" si="2"/>
        <v>1</v>
      </c>
      <c r="K48" s="41" t="s">
        <v>158</v>
      </c>
      <c r="L48" s="83" t="s">
        <v>159</v>
      </c>
    </row>
    <row r="49" spans="1:12" ht="15" thickBot="1">
      <c r="A49" s="43" t="s">
        <v>12</v>
      </c>
      <c r="B49" s="35" t="s">
        <v>285</v>
      </c>
      <c r="C49" s="44" t="s">
        <v>14</v>
      </c>
      <c r="D49" s="62" t="s">
        <v>96</v>
      </c>
      <c r="E49" s="84" t="s">
        <v>149</v>
      </c>
      <c r="F49" s="85" t="s">
        <v>117</v>
      </c>
      <c r="G49" s="37" t="s">
        <v>93</v>
      </c>
      <c r="H49" s="48">
        <v>1</v>
      </c>
      <c r="I49" s="49">
        <v>0</v>
      </c>
      <c r="J49" s="50">
        <f>I49+H49</f>
        <v>1</v>
      </c>
      <c r="K49" s="51" t="s">
        <v>160</v>
      </c>
      <c r="L49" s="86" t="s">
        <v>161</v>
      </c>
    </row>
    <row r="50" spans="1:12">
      <c r="A50" s="35" t="s">
        <v>12</v>
      </c>
      <c r="B50" s="25" t="s">
        <v>286</v>
      </c>
      <c r="C50" s="35" t="s">
        <v>14</v>
      </c>
      <c r="D50" s="4" t="s">
        <v>61</v>
      </c>
      <c r="E50" s="5" t="s">
        <v>86</v>
      </c>
      <c r="F50" s="36" t="s">
        <v>27</v>
      </c>
      <c r="G50" s="37" t="s">
        <v>18</v>
      </c>
      <c r="H50" s="38">
        <v>1</v>
      </c>
      <c r="I50" s="39">
        <v>0</v>
      </c>
      <c r="J50" s="40">
        <f>I50+H50</f>
        <v>1</v>
      </c>
      <c r="K50" s="137" t="s">
        <v>87</v>
      </c>
      <c r="L50" s="18" t="s">
        <v>88</v>
      </c>
    </row>
    <row r="51" spans="1:12" ht="15" thickBot="1">
      <c r="A51" s="20"/>
      <c r="B51" s="20"/>
      <c r="C51" s="20"/>
      <c r="D51" s="53"/>
      <c r="E51" s="20"/>
      <c r="F51" s="20"/>
      <c r="G51" s="20"/>
      <c r="H51" s="20"/>
      <c r="I51" s="20"/>
      <c r="J51" s="20"/>
      <c r="K51" s="20"/>
      <c r="L51" s="20"/>
    </row>
    <row r="52" spans="1:12">
      <c r="A52" s="24" t="s">
        <v>12</v>
      </c>
      <c r="B52" s="25" t="s">
        <v>162</v>
      </c>
      <c r="C52" s="25" t="s">
        <v>14</v>
      </c>
      <c r="D52" s="55" t="s">
        <v>61</v>
      </c>
      <c r="E52" s="66" t="s">
        <v>163</v>
      </c>
      <c r="F52" s="27" t="s">
        <v>27</v>
      </c>
      <c r="G52" s="28" t="s">
        <v>18</v>
      </c>
      <c r="H52" s="29">
        <v>1</v>
      </c>
      <c r="I52" s="30">
        <v>0</v>
      </c>
      <c r="J52" s="31">
        <f t="shared" ref="J52:J57" si="3">I52+H52</f>
        <v>1</v>
      </c>
      <c r="K52" s="57" t="s">
        <v>164</v>
      </c>
      <c r="L52" s="87" t="s">
        <v>165</v>
      </c>
    </row>
    <row r="53" spans="1:12">
      <c r="A53" s="34" t="s">
        <v>12</v>
      </c>
      <c r="B53" s="35" t="s">
        <v>166</v>
      </c>
      <c r="C53" s="35" t="s">
        <v>14</v>
      </c>
      <c r="D53" s="4" t="s">
        <v>92</v>
      </c>
      <c r="E53" s="18" t="s">
        <v>163</v>
      </c>
      <c r="F53" s="61" t="s">
        <v>167</v>
      </c>
      <c r="G53" s="37" t="s">
        <v>93</v>
      </c>
      <c r="H53" s="38">
        <v>1</v>
      </c>
      <c r="I53" s="39">
        <v>0</v>
      </c>
      <c r="J53" s="40">
        <f t="shared" si="3"/>
        <v>1</v>
      </c>
      <c r="K53" s="41" t="s">
        <v>168</v>
      </c>
      <c r="L53" s="88" t="s">
        <v>169</v>
      </c>
    </row>
    <row r="54" spans="1:12">
      <c r="A54" s="34" t="s">
        <v>12</v>
      </c>
      <c r="B54" s="35" t="s">
        <v>166</v>
      </c>
      <c r="C54" s="35" t="s">
        <v>14</v>
      </c>
      <c r="D54" s="4" t="s">
        <v>170</v>
      </c>
      <c r="E54" s="18" t="s">
        <v>163</v>
      </c>
      <c r="F54" s="36" t="s">
        <v>171</v>
      </c>
      <c r="G54" s="37" t="s">
        <v>93</v>
      </c>
      <c r="H54" s="38">
        <v>1</v>
      </c>
      <c r="I54" s="39">
        <v>0</v>
      </c>
      <c r="J54" s="40">
        <f t="shared" si="3"/>
        <v>1</v>
      </c>
      <c r="K54" s="41" t="s">
        <v>172</v>
      </c>
      <c r="L54" s="88" t="s">
        <v>173</v>
      </c>
    </row>
    <row r="55" spans="1:12">
      <c r="A55" s="34" t="s">
        <v>12</v>
      </c>
      <c r="B55" s="35" t="s">
        <v>166</v>
      </c>
      <c r="C55" s="35" t="s">
        <v>14</v>
      </c>
      <c r="D55" s="4" t="s">
        <v>103</v>
      </c>
      <c r="E55" s="18" t="s">
        <v>163</v>
      </c>
      <c r="F55" s="36" t="s">
        <v>171</v>
      </c>
      <c r="G55" s="37" t="s">
        <v>93</v>
      </c>
      <c r="H55" s="38">
        <v>1</v>
      </c>
      <c r="I55" s="39">
        <v>0</v>
      </c>
      <c r="J55" s="40">
        <f t="shared" si="3"/>
        <v>1</v>
      </c>
      <c r="K55" s="41" t="s">
        <v>174</v>
      </c>
      <c r="L55" s="88" t="s">
        <v>175</v>
      </c>
    </row>
    <row r="56" spans="1:12">
      <c r="A56" s="34" t="s">
        <v>12</v>
      </c>
      <c r="B56" s="35" t="s">
        <v>166</v>
      </c>
      <c r="C56" s="35" t="s">
        <v>14</v>
      </c>
      <c r="D56" s="4" t="s">
        <v>176</v>
      </c>
      <c r="E56" s="18" t="s">
        <v>177</v>
      </c>
      <c r="F56" s="36" t="s">
        <v>27</v>
      </c>
      <c r="G56" s="37" t="s">
        <v>93</v>
      </c>
      <c r="H56" s="38">
        <v>1</v>
      </c>
      <c r="I56" s="39">
        <v>0</v>
      </c>
      <c r="J56" s="40">
        <f t="shared" si="3"/>
        <v>1</v>
      </c>
      <c r="K56" s="41" t="s">
        <v>178</v>
      </c>
      <c r="L56" s="88" t="s">
        <v>179</v>
      </c>
    </row>
    <row r="57" spans="1:12" ht="15" thickBot="1">
      <c r="A57" s="43" t="s">
        <v>12</v>
      </c>
      <c r="B57" s="44" t="s">
        <v>180</v>
      </c>
      <c r="C57" s="44" t="s">
        <v>14</v>
      </c>
      <c r="D57" s="62" t="s">
        <v>61</v>
      </c>
      <c r="E57" s="84" t="s">
        <v>177</v>
      </c>
      <c r="F57" s="46" t="s">
        <v>27</v>
      </c>
      <c r="G57" s="47" t="s">
        <v>18</v>
      </c>
      <c r="H57" s="48">
        <v>1</v>
      </c>
      <c r="I57" s="49">
        <v>0</v>
      </c>
      <c r="J57" s="50">
        <f t="shared" si="3"/>
        <v>1</v>
      </c>
      <c r="K57" s="51" t="s">
        <v>181</v>
      </c>
      <c r="L57" s="90" t="s">
        <v>182</v>
      </c>
    </row>
    <row r="58" spans="1:12" ht="15" thickBot="1">
      <c r="A58" s="72"/>
      <c r="B58" s="72"/>
      <c r="C58" s="72"/>
      <c r="D58" s="73"/>
      <c r="E58" s="91"/>
      <c r="F58" s="75"/>
      <c r="G58" s="76"/>
      <c r="H58" s="77"/>
      <c r="I58" s="78"/>
      <c r="J58" s="79"/>
      <c r="K58" s="92"/>
      <c r="L58" s="93"/>
    </row>
    <row r="59" spans="1:12">
      <c r="A59" s="24" t="s">
        <v>12</v>
      </c>
      <c r="B59" s="25" t="s">
        <v>183</v>
      </c>
      <c r="C59" s="94" t="s">
        <v>14</v>
      </c>
      <c r="D59" s="95" t="s">
        <v>61</v>
      </c>
      <c r="E59" s="66" t="s">
        <v>184</v>
      </c>
      <c r="F59" s="27" t="s">
        <v>27</v>
      </c>
      <c r="G59" s="28" t="s">
        <v>18</v>
      </c>
      <c r="H59" s="29">
        <v>1</v>
      </c>
      <c r="I59" s="30">
        <v>0</v>
      </c>
      <c r="J59" s="31">
        <f t="shared" ref="J59:J72" si="4">I59+H59</f>
        <v>1</v>
      </c>
      <c r="K59" s="57" t="s">
        <v>185</v>
      </c>
      <c r="L59" s="87" t="s">
        <v>186</v>
      </c>
    </row>
    <row r="60" spans="1:12">
      <c r="A60" s="34" t="s">
        <v>12</v>
      </c>
      <c r="B60" s="35" t="s">
        <v>187</v>
      </c>
      <c r="C60" s="96" t="s">
        <v>14</v>
      </c>
      <c r="D60" s="97" t="s">
        <v>92</v>
      </c>
      <c r="E60" s="18" t="s">
        <v>188</v>
      </c>
      <c r="F60" s="61" t="s">
        <v>167</v>
      </c>
      <c r="G60" s="37" t="s">
        <v>93</v>
      </c>
      <c r="H60" s="38">
        <v>1</v>
      </c>
      <c r="I60" s="39">
        <v>0</v>
      </c>
      <c r="J60" s="40">
        <f t="shared" si="4"/>
        <v>1</v>
      </c>
      <c r="K60" s="41" t="s">
        <v>189</v>
      </c>
      <c r="L60" s="88" t="s">
        <v>190</v>
      </c>
    </row>
    <row r="61" spans="1:12">
      <c r="A61" s="34" t="s">
        <v>12</v>
      </c>
      <c r="B61" s="35" t="s">
        <v>187</v>
      </c>
      <c r="C61" s="96" t="s">
        <v>14</v>
      </c>
      <c r="D61" s="97" t="s">
        <v>103</v>
      </c>
      <c r="E61" s="18" t="s">
        <v>188</v>
      </c>
      <c r="F61" s="36" t="s">
        <v>171</v>
      </c>
      <c r="G61" s="37" t="s">
        <v>93</v>
      </c>
      <c r="H61" s="38">
        <v>1</v>
      </c>
      <c r="I61" s="39">
        <v>0</v>
      </c>
      <c r="J61" s="40">
        <f t="shared" si="4"/>
        <v>1</v>
      </c>
      <c r="K61" s="41" t="s">
        <v>191</v>
      </c>
      <c r="L61" s="88" t="s">
        <v>192</v>
      </c>
    </row>
    <row r="62" spans="1:12">
      <c r="A62" s="34" t="s">
        <v>12</v>
      </c>
      <c r="B62" s="35" t="s">
        <v>187</v>
      </c>
      <c r="C62" s="96" t="s">
        <v>14</v>
      </c>
      <c r="D62" s="97" t="s">
        <v>170</v>
      </c>
      <c r="E62" s="18" t="s">
        <v>188</v>
      </c>
      <c r="F62" s="36" t="s">
        <v>171</v>
      </c>
      <c r="G62" s="37" t="s">
        <v>93</v>
      </c>
      <c r="H62" s="38">
        <v>1</v>
      </c>
      <c r="I62" s="39">
        <v>0</v>
      </c>
      <c r="J62" s="40">
        <f t="shared" si="4"/>
        <v>1</v>
      </c>
      <c r="K62" s="41" t="s">
        <v>193</v>
      </c>
      <c r="L62" s="88" t="s">
        <v>194</v>
      </c>
    </row>
    <row r="63" spans="1:12">
      <c r="A63" s="34" t="s">
        <v>12</v>
      </c>
      <c r="B63" s="35" t="s">
        <v>187</v>
      </c>
      <c r="C63" s="96" t="s">
        <v>14</v>
      </c>
      <c r="D63" s="97" t="s">
        <v>106</v>
      </c>
      <c r="E63" s="18" t="s">
        <v>195</v>
      </c>
      <c r="F63" s="36" t="s">
        <v>27</v>
      </c>
      <c r="G63" s="37" t="s">
        <v>93</v>
      </c>
      <c r="H63" s="38">
        <v>1</v>
      </c>
      <c r="I63" s="39">
        <v>0</v>
      </c>
      <c r="J63" s="40">
        <f t="shared" si="4"/>
        <v>1</v>
      </c>
      <c r="K63" s="41" t="s">
        <v>196</v>
      </c>
      <c r="L63" s="88" t="s">
        <v>197</v>
      </c>
    </row>
    <row r="64" spans="1:12" ht="15" thickBot="1">
      <c r="A64" s="43" t="s">
        <v>12</v>
      </c>
      <c r="B64" s="44" t="s">
        <v>198</v>
      </c>
      <c r="C64" s="98" t="s">
        <v>14</v>
      </c>
      <c r="D64" s="99" t="s">
        <v>61</v>
      </c>
      <c r="E64" s="84" t="s">
        <v>199</v>
      </c>
      <c r="F64" s="46" t="s">
        <v>27</v>
      </c>
      <c r="G64" s="47" t="s">
        <v>18</v>
      </c>
      <c r="H64" s="48">
        <v>1</v>
      </c>
      <c r="I64" s="49">
        <v>0</v>
      </c>
      <c r="J64" s="50">
        <f t="shared" si="4"/>
        <v>1</v>
      </c>
      <c r="K64" s="51" t="s">
        <v>200</v>
      </c>
      <c r="L64" s="90" t="s">
        <v>201</v>
      </c>
    </row>
    <row r="65" spans="1:12" ht="15" thickBot="1">
      <c r="A65" s="100"/>
      <c r="B65" s="100"/>
      <c r="C65" s="100"/>
      <c r="D65" s="101"/>
      <c r="E65" s="91"/>
      <c r="F65" s="102"/>
      <c r="G65" s="103"/>
      <c r="H65" s="104"/>
      <c r="I65" s="105"/>
      <c r="J65" s="106"/>
      <c r="K65" s="107"/>
      <c r="L65" s="108"/>
    </row>
    <row r="66" spans="1:12">
      <c r="A66" s="35" t="s">
        <v>12</v>
      </c>
      <c r="B66" s="35" t="s">
        <v>202</v>
      </c>
      <c r="C66" s="96" t="s">
        <v>14</v>
      </c>
      <c r="D66" s="95" t="s">
        <v>61</v>
      </c>
      <c r="E66" s="66" t="s">
        <v>203</v>
      </c>
      <c r="F66" s="27" t="s">
        <v>27</v>
      </c>
      <c r="G66" s="28" t="s">
        <v>18</v>
      </c>
      <c r="H66" s="29">
        <v>1</v>
      </c>
      <c r="I66" s="30">
        <v>0</v>
      </c>
      <c r="J66" s="31">
        <f t="shared" si="4"/>
        <v>1</v>
      </c>
      <c r="K66" s="57" t="s">
        <v>204</v>
      </c>
      <c r="L66" s="87" t="s">
        <v>205</v>
      </c>
    </row>
    <row r="67" spans="1:12">
      <c r="A67" s="35" t="s">
        <v>12</v>
      </c>
      <c r="B67" s="35" t="s">
        <v>206</v>
      </c>
      <c r="C67" s="96" t="s">
        <v>14</v>
      </c>
      <c r="D67" s="97" t="s">
        <v>96</v>
      </c>
      <c r="E67" s="18" t="s">
        <v>207</v>
      </c>
      <c r="F67" s="61" t="s">
        <v>167</v>
      </c>
      <c r="G67" s="37" t="s">
        <v>93</v>
      </c>
      <c r="H67" s="38">
        <v>1</v>
      </c>
      <c r="I67" s="39">
        <v>0</v>
      </c>
      <c r="J67" s="40">
        <v>1</v>
      </c>
      <c r="K67" s="41" t="s">
        <v>208</v>
      </c>
      <c r="L67" s="88" t="s">
        <v>209</v>
      </c>
    </row>
    <row r="68" spans="1:12">
      <c r="A68" s="35" t="s">
        <v>12</v>
      </c>
      <c r="B68" s="35" t="s">
        <v>206</v>
      </c>
      <c r="C68" s="96" t="s">
        <v>14</v>
      </c>
      <c r="D68" s="97" t="s">
        <v>210</v>
      </c>
      <c r="E68" s="18" t="s">
        <v>207</v>
      </c>
      <c r="F68" s="89" t="s">
        <v>171</v>
      </c>
      <c r="G68" s="37" t="s">
        <v>93</v>
      </c>
      <c r="H68" s="38">
        <v>1</v>
      </c>
      <c r="I68" s="39">
        <v>0</v>
      </c>
      <c r="J68" s="40">
        <v>1</v>
      </c>
      <c r="K68" s="41" t="s">
        <v>211</v>
      </c>
      <c r="L68" s="88" t="s">
        <v>212</v>
      </c>
    </row>
    <row r="69" spans="1:12">
      <c r="A69" s="35" t="s">
        <v>12</v>
      </c>
      <c r="B69" s="35" t="s">
        <v>206</v>
      </c>
      <c r="C69" s="96" t="s">
        <v>14</v>
      </c>
      <c r="D69" s="97" t="s">
        <v>170</v>
      </c>
      <c r="E69" s="18" t="s">
        <v>207</v>
      </c>
      <c r="F69" s="89" t="s">
        <v>171</v>
      </c>
      <c r="G69" s="37" t="s">
        <v>93</v>
      </c>
      <c r="H69" s="38">
        <v>1</v>
      </c>
      <c r="I69" s="39">
        <v>0</v>
      </c>
      <c r="J69" s="40">
        <v>1</v>
      </c>
      <c r="K69" s="41" t="s">
        <v>213</v>
      </c>
      <c r="L69" s="88" t="s">
        <v>214</v>
      </c>
    </row>
    <row r="70" spans="1:12">
      <c r="A70" s="35" t="s">
        <v>12</v>
      </c>
      <c r="B70" s="35" t="s">
        <v>206</v>
      </c>
      <c r="C70" s="96" t="s">
        <v>14</v>
      </c>
      <c r="D70" s="97" t="s">
        <v>92</v>
      </c>
      <c r="E70" s="18" t="s">
        <v>215</v>
      </c>
      <c r="F70" s="36" t="s">
        <v>27</v>
      </c>
      <c r="G70" s="37" t="s">
        <v>93</v>
      </c>
      <c r="H70" s="38">
        <v>2</v>
      </c>
      <c r="I70" s="39">
        <v>0</v>
      </c>
      <c r="J70" s="40">
        <v>2</v>
      </c>
      <c r="K70" s="41" t="s">
        <v>216</v>
      </c>
      <c r="L70" s="88" t="s">
        <v>217</v>
      </c>
    </row>
    <row r="71" spans="1:12">
      <c r="A71" s="35" t="s">
        <v>12</v>
      </c>
      <c r="B71" s="35" t="s">
        <v>206</v>
      </c>
      <c r="C71" s="96" t="s">
        <v>14</v>
      </c>
      <c r="D71" s="97" t="s">
        <v>103</v>
      </c>
      <c r="E71" s="18" t="s">
        <v>215</v>
      </c>
      <c r="F71" s="89" t="s">
        <v>171</v>
      </c>
      <c r="G71" s="37" t="s">
        <v>93</v>
      </c>
      <c r="H71" s="38">
        <v>1</v>
      </c>
      <c r="I71" s="39">
        <v>0</v>
      </c>
      <c r="J71" s="40">
        <v>1</v>
      </c>
      <c r="K71" s="41" t="s">
        <v>218</v>
      </c>
      <c r="L71" s="88" t="s">
        <v>219</v>
      </c>
    </row>
    <row r="72" spans="1:12" ht="15" thickBot="1">
      <c r="A72" s="35" t="s">
        <v>12</v>
      </c>
      <c r="B72" s="35" t="s">
        <v>220</v>
      </c>
      <c r="C72" s="96" t="s">
        <v>14</v>
      </c>
      <c r="D72" s="99" t="s">
        <v>61</v>
      </c>
      <c r="E72" s="84" t="s">
        <v>221</v>
      </c>
      <c r="F72" s="46" t="s">
        <v>27</v>
      </c>
      <c r="G72" s="47" t="s">
        <v>18</v>
      </c>
      <c r="H72" s="48">
        <v>1</v>
      </c>
      <c r="I72" s="49">
        <v>0</v>
      </c>
      <c r="J72" s="50">
        <f t="shared" si="4"/>
        <v>1</v>
      </c>
      <c r="K72" s="51" t="s">
        <v>222</v>
      </c>
      <c r="L72" s="90" t="s">
        <v>223</v>
      </c>
    </row>
    <row r="73" spans="1:12" ht="15" thickBot="1">
      <c r="A73" s="109"/>
      <c r="B73" s="110"/>
      <c r="C73" s="110"/>
      <c r="D73" s="101"/>
      <c r="E73" s="111"/>
      <c r="F73" s="102"/>
      <c r="G73" s="103"/>
      <c r="H73" s="104"/>
      <c r="I73" s="105"/>
      <c r="J73" s="106"/>
      <c r="K73" s="112"/>
      <c r="L73" s="113"/>
    </row>
    <row r="74" spans="1:12">
      <c r="A74" s="34" t="s">
        <v>12</v>
      </c>
      <c r="B74" s="35" t="s">
        <v>224</v>
      </c>
      <c r="C74" s="96" t="s">
        <v>14</v>
      </c>
      <c r="D74" s="95" t="s">
        <v>61</v>
      </c>
      <c r="E74" s="66" t="s">
        <v>225</v>
      </c>
      <c r="F74" s="27" t="s">
        <v>27</v>
      </c>
      <c r="G74" s="28" t="s">
        <v>18</v>
      </c>
      <c r="H74" s="29">
        <v>1</v>
      </c>
      <c r="I74" s="30">
        <v>0</v>
      </c>
      <c r="J74" s="31">
        <f t="shared" ref="J74:J79" si="5">I74+H74</f>
        <v>1</v>
      </c>
      <c r="K74" s="57" t="s">
        <v>226</v>
      </c>
      <c r="L74" s="58" t="s">
        <v>227</v>
      </c>
    </row>
    <row r="75" spans="1:12">
      <c r="A75" s="34" t="s">
        <v>12</v>
      </c>
      <c r="B75" s="35" t="s">
        <v>228</v>
      </c>
      <c r="C75" s="96" t="s">
        <v>14</v>
      </c>
      <c r="D75" s="97" t="s">
        <v>92</v>
      </c>
      <c r="E75" s="18" t="s">
        <v>229</v>
      </c>
      <c r="F75" s="61" t="s">
        <v>167</v>
      </c>
      <c r="G75" s="37" t="s">
        <v>93</v>
      </c>
      <c r="H75" s="38">
        <v>1</v>
      </c>
      <c r="I75" s="39">
        <v>0</v>
      </c>
      <c r="J75" s="40">
        <f t="shared" si="5"/>
        <v>1</v>
      </c>
      <c r="K75" s="114" t="s">
        <v>230</v>
      </c>
      <c r="L75" s="115" t="s">
        <v>231</v>
      </c>
    </row>
    <row r="76" spans="1:12">
      <c r="A76" s="34" t="s">
        <v>12</v>
      </c>
      <c r="B76" s="35" t="s">
        <v>228</v>
      </c>
      <c r="C76" s="96" t="s">
        <v>14</v>
      </c>
      <c r="D76" s="97" t="s">
        <v>170</v>
      </c>
      <c r="E76" s="18" t="s">
        <v>229</v>
      </c>
      <c r="F76" s="36" t="s">
        <v>171</v>
      </c>
      <c r="G76" s="37" t="s">
        <v>93</v>
      </c>
      <c r="H76" s="38">
        <v>1</v>
      </c>
      <c r="I76" s="39">
        <v>0</v>
      </c>
      <c r="J76" s="40">
        <f t="shared" si="5"/>
        <v>1</v>
      </c>
      <c r="K76" s="41" t="s">
        <v>232</v>
      </c>
      <c r="L76" s="60" t="s">
        <v>233</v>
      </c>
    </row>
    <row r="77" spans="1:12">
      <c r="A77" s="34" t="s">
        <v>12</v>
      </c>
      <c r="B77" s="35" t="s">
        <v>228</v>
      </c>
      <c r="C77" s="96" t="s">
        <v>14</v>
      </c>
      <c r="D77" s="97" t="s">
        <v>103</v>
      </c>
      <c r="E77" s="18" t="s">
        <v>229</v>
      </c>
      <c r="F77" s="36" t="s">
        <v>171</v>
      </c>
      <c r="G77" s="37" t="s">
        <v>93</v>
      </c>
      <c r="H77" s="38">
        <v>1</v>
      </c>
      <c r="I77" s="39">
        <v>0</v>
      </c>
      <c r="J77" s="40">
        <f t="shared" si="5"/>
        <v>1</v>
      </c>
      <c r="K77" s="41" t="s">
        <v>234</v>
      </c>
      <c r="L77" s="60" t="s">
        <v>235</v>
      </c>
    </row>
    <row r="78" spans="1:12">
      <c r="A78" s="34" t="s">
        <v>12</v>
      </c>
      <c r="B78" s="35" t="s">
        <v>228</v>
      </c>
      <c r="C78" s="96" t="s">
        <v>14</v>
      </c>
      <c r="D78" s="97" t="s">
        <v>106</v>
      </c>
      <c r="E78" s="18" t="s">
        <v>236</v>
      </c>
      <c r="F78" s="36" t="s">
        <v>27</v>
      </c>
      <c r="G78" s="37" t="s">
        <v>93</v>
      </c>
      <c r="H78" s="38">
        <v>1</v>
      </c>
      <c r="I78" s="39">
        <v>0</v>
      </c>
      <c r="J78" s="40">
        <f t="shared" si="5"/>
        <v>1</v>
      </c>
      <c r="K78" s="41" t="s">
        <v>237</v>
      </c>
      <c r="L78" s="60" t="s">
        <v>238</v>
      </c>
    </row>
    <row r="79" spans="1:12" ht="15" thickBot="1">
      <c r="A79" s="43" t="s">
        <v>12</v>
      </c>
      <c r="B79" s="44" t="s">
        <v>239</v>
      </c>
      <c r="C79" s="98" t="s">
        <v>14</v>
      </c>
      <c r="D79" s="99" t="s">
        <v>61</v>
      </c>
      <c r="E79" s="84" t="s">
        <v>297</v>
      </c>
      <c r="F79" s="46" t="s">
        <v>27</v>
      </c>
      <c r="G79" s="47" t="s">
        <v>18</v>
      </c>
      <c r="H79" s="48">
        <v>1</v>
      </c>
      <c r="I79" s="49">
        <v>0</v>
      </c>
      <c r="J79" s="50">
        <f t="shared" si="5"/>
        <v>1</v>
      </c>
      <c r="K79" s="51" t="s">
        <v>240</v>
      </c>
      <c r="L79" s="116" t="s">
        <v>241</v>
      </c>
    </row>
    <row r="80" spans="1:12" ht="15" thickBot="1">
      <c r="A80" s="20"/>
      <c r="B80" s="117"/>
      <c r="C80" s="20"/>
      <c r="D80" s="53"/>
      <c r="E80" s="20"/>
      <c r="F80" s="20"/>
      <c r="G80" s="20"/>
      <c r="H80" s="20"/>
      <c r="I80" s="20"/>
      <c r="J80" s="20"/>
      <c r="K80" s="20"/>
      <c r="L80" s="118"/>
    </row>
    <row r="81" spans="1:12">
      <c r="A81" s="35" t="s">
        <v>12</v>
      </c>
      <c r="B81" s="35" t="s">
        <v>242</v>
      </c>
      <c r="C81" s="96" t="s">
        <v>14</v>
      </c>
      <c r="D81" s="95" t="s">
        <v>61</v>
      </c>
      <c r="E81" s="26" t="s">
        <v>243</v>
      </c>
      <c r="F81" s="27" t="s">
        <v>17</v>
      </c>
      <c r="G81" s="28" t="s">
        <v>18</v>
      </c>
      <c r="H81" s="29">
        <v>1</v>
      </c>
      <c r="I81" s="30">
        <v>0</v>
      </c>
      <c r="J81" s="31">
        <f>I81+H81</f>
        <v>1</v>
      </c>
      <c r="K81" s="32" t="s">
        <v>244</v>
      </c>
      <c r="L81" s="119" t="s">
        <v>245</v>
      </c>
    </row>
    <row r="82" spans="1:12">
      <c r="A82" s="35" t="s">
        <v>12</v>
      </c>
      <c r="B82" s="35" t="s">
        <v>246</v>
      </c>
      <c r="C82" s="96" t="s">
        <v>14</v>
      </c>
      <c r="D82" s="120" t="s">
        <v>247</v>
      </c>
      <c r="E82" s="5" t="s">
        <v>243</v>
      </c>
      <c r="F82" s="36" t="s">
        <v>17</v>
      </c>
      <c r="G82" s="37" t="s">
        <v>93</v>
      </c>
      <c r="H82" s="38">
        <v>1</v>
      </c>
      <c r="I82" s="39">
        <v>0</v>
      </c>
      <c r="J82" s="40">
        <f t="shared" ref="J82:J86" si="6">I82+H82</f>
        <v>1</v>
      </c>
      <c r="K82" s="121" t="s">
        <v>248</v>
      </c>
      <c r="L82" s="60" t="s">
        <v>249</v>
      </c>
    </row>
    <row r="83" spans="1:12">
      <c r="A83" s="35" t="s">
        <v>12</v>
      </c>
      <c r="B83" s="35" t="s">
        <v>246</v>
      </c>
      <c r="C83" s="96" t="s">
        <v>14</v>
      </c>
      <c r="D83" s="120" t="s">
        <v>92</v>
      </c>
      <c r="E83" s="5" t="s">
        <v>243</v>
      </c>
      <c r="F83" s="36" t="s">
        <v>27</v>
      </c>
      <c r="G83" s="37" t="s">
        <v>93</v>
      </c>
      <c r="H83" s="38">
        <v>1</v>
      </c>
      <c r="I83" s="39">
        <v>0</v>
      </c>
      <c r="J83" s="40">
        <f t="shared" si="6"/>
        <v>1</v>
      </c>
      <c r="K83" s="122" t="s">
        <v>250</v>
      </c>
      <c r="L83" s="115" t="s">
        <v>251</v>
      </c>
    </row>
    <row r="84" spans="1:12">
      <c r="A84" s="35" t="s">
        <v>12</v>
      </c>
      <c r="B84" s="35" t="s">
        <v>246</v>
      </c>
      <c r="C84" s="96" t="s">
        <v>14</v>
      </c>
      <c r="D84" s="120" t="s">
        <v>120</v>
      </c>
      <c r="E84" s="5" t="s">
        <v>243</v>
      </c>
      <c r="F84" s="36" t="s">
        <v>27</v>
      </c>
      <c r="G84" s="37" t="s">
        <v>93</v>
      </c>
      <c r="H84" s="38">
        <v>1</v>
      </c>
      <c r="I84" s="39">
        <v>0</v>
      </c>
      <c r="J84" s="40">
        <f t="shared" si="6"/>
        <v>1</v>
      </c>
      <c r="K84" s="121" t="s">
        <v>252</v>
      </c>
      <c r="L84" s="60" t="s">
        <v>253</v>
      </c>
    </row>
    <row r="85" spans="1:12">
      <c r="A85" s="35" t="s">
        <v>12</v>
      </c>
      <c r="B85" s="35" t="s">
        <v>246</v>
      </c>
      <c r="C85" s="96" t="s">
        <v>14</v>
      </c>
      <c r="D85" s="120" t="s">
        <v>96</v>
      </c>
      <c r="E85" s="5" t="s">
        <v>243</v>
      </c>
      <c r="F85" s="36" t="s">
        <v>27</v>
      </c>
      <c r="G85" s="37" t="s">
        <v>93</v>
      </c>
      <c r="H85" s="38">
        <v>1</v>
      </c>
      <c r="I85" s="39">
        <v>0</v>
      </c>
      <c r="J85" s="40">
        <f t="shared" si="6"/>
        <v>1</v>
      </c>
      <c r="K85" s="121" t="s">
        <v>254</v>
      </c>
      <c r="L85" s="60" t="s">
        <v>255</v>
      </c>
    </row>
    <row r="86" spans="1:12">
      <c r="A86" s="35" t="s">
        <v>12</v>
      </c>
      <c r="B86" s="35" t="s">
        <v>246</v>
      </c>
      <c r="C86" s="96" t="s">
        <v>14</v>
      </c>
      <c r="D86" s="120" t="s">
        <v>106</v>
      </c>
      <c r="E86" s="5" t="s">
        <v>256</v>
      </c>
      <c r="F86" s="36" t="s">
        <v>27</v>
      </c>
      <c r="G86" s="37" t="s">
        <v>93</v>
      </c>
      <c r="H86" s="38">
        <v>1</v>
      </c>
      <c r="I86" s="39">
        <v>0</v>
      </c>
      <c r="J86" s="40">
        <f t="shared" si="6"/>
        <v>1</v>
      </c>
      <c r="K86" s="121" t="s">
        <v>257</v>
      </c>
      <c r="L86" s="60" t="s">
        <v>258</v>
      </c>
    </row>
    <row r="87" spans="1:12" ht="15" thickBot="1">
      <c r="A87" s="35" t="s">
        <v>12</v>
      </c>
      <c r="B87" s="35" t="s">
        <v>259</v>
      </c>
      <c r="C87" s="96" t="s">
        <v>14</v>
      </c>
      <c r="D87" s="99" t="s">
        <v>61</v>
      </c>
      <c r="E87" s="45" t="s">
        <v>256</v>
      </c>
      <c r="F87" s="46" t="s">
        <v>27</v>
      </c>
      <c r="G87" s="47" t="s">
        <v>18</v>
      </c>
      <c r="H87" s="48">
        <v>1</v>
      </c>
      <c r="I87" s="49">
        <v>0</v>
      </c>
      <c r="J87" s="123">
        <v>1</v>
      </c>
      <c r="K87" s="64" t="s">
        <v>260</v>
      </c>
      <c r="L87" s="65" t="s">
        <v>261</v>
      </c>
    </row>
    <row r="88" spans="1:12" ht="15" thickBot="1">
      <c r="A88" s="20"/>
      <c r="B88" s="20"/>
      <c r="C88" s="20"/>
      <c r="D88" s="53"/>
      <c r="E88" s="20"/>
      <c r="F88" s="20"/>
      <c r="G88" s="20"/>
      <c r="H88" s="20"/>
      <c r="I88" s="20"/>
      <c r="J88" s="20"/>
      <c r="K88" s="54"/>
      <c r="L88" s="118"/>
    </row>
    <row r="89" spans="1:12">
      <c r="A89" s="35" t="s">
        <v>12</v>
      </c>
      <c r="B89" s="35" t="s">
        <v>262</v>
      </c>
      <c r="C89" s="96" t="s">
        <v>14</v>
      </c>
      <c r="D89" s="95" t="s">
        <v>61</v>
      </c>
      <c r="E89" s="26" t="s">
        <v>263</v>
      </c>
      <c r="F89" s="27" t="s">
        <v>27</v>
      </c>
      <c r="G89" s="28" t="s">
        <v>18</v>
      </c>
      <c r="H89" s="124">
        <v>1</v>
      </c>
      <c r="I89" s="30">
        <v>0</v>
      </c>
      <c r="J89" s="31">
        <f>I89+H89</f>
        <v>1</v>
      </c>
      <c r="K89" s="32" t="s">
        <v>264</v>
      </c>
      <c r="L89" s="119" t="s">
        <v>265</v>
      </c>
    </row>
    <row r="90" spans="1:12">
      <c r="A90" s="35" t="s">
        <v>12</v>
      </c>
      <c r="B90" s="35" t="s">
        <v>266</v>
      </c>
      <c r="C90" s="96" t="s">
        <v>14</v>
      </c>
      <c r="D90" s="97" t="s">
        <v>92</v>
      </c>
      <c r="E90" s="5" t="s">
        <v>263</v>
      </c>
      <c r="F90" s="36" t="s">
        <v>27</v>
      </c>
      <c r="G90" s="37" t="s">
        <v>93</v>
      </c>
      <c r="H90" s="125">
        <v>1</v>
      </c>
      <c r="I90" s="39">
        <v>0</v>
      </c>
      <c r="J90" s="40">
        <f t="shared" ref="J90:J93" si="7">I90+H90</f>
        <v>1</v>
      </c>
      <c r="K90" s="121" t="s">
        <v>267</v>
      </c>
      <c r="L90" s="60" t="s">
        <v>268</v>
      </c>
    </row>
    <row r="91" spans="1:12">
      <c r="A91" s="35" t="s">
        <v>12</v>
      </c>
      <c r="B91" s="35" t="s">
        <v>266</v>
      </c>
      <c r="C91" s="96" t="s">
        <v>14</v>
      </c>
      <c r="D91" s="97" t="s">
        <v>96</v>
      </c>
      <c r="E91" s="5" t="s">
        <v>263</v>
      </c>
      <c r="F91" s="61" t="s">
        <v>167</v>
      </c>
      <c r="G91" s="37" t="s">
        <v>93</v>
      </c>
      <c r="H91" s="125">
        <v>1</v>
      </c>
      <c r="I91" s="39">
        <v>0</v>
      </c>
      <c r="J91" s="40">
        <f t="shared" si="7"/>
        <v>1</v>
      </c>
      <c r="K91" s="121" t="s">
        <v>269</v>
      </c>
      <c r="L91" s="60" t="s">
        <v>270</v>
      </c>
    </row>
    <row r="92" spans="1:12">
      <c r="A92" s="35" t="s">
        <v>12</v>
      </c>
      <c r="B92" s="35" t="s">
        <v>266</v>
      </c>
      <c r="C92" s="96" t="s">
        <v>14</v>
      </c>
      <c r="D92" s="97" t="s">
        <v>100</v>
      </c>
      <c r="E92" s="5" t="s">
        <v>263</v>
      </c>
      <c r="F92" s="61" t="s">
        <v>167</v>
      </c>
      <c r="G92" s="37" t="s">
        <v>93</v>
      </c>
      <c r="H92" s="125">
        <v>1</v>
      </c>
      <c r="I92" s="39">
        <v>0</v>
      </c>
      <c r="J92" s="40">
        <f t="shared" si="7"/>
        <v>1</v>
      </c>
      <c r="K92" s="121" t="s">
        <v>271</v>
      </c>
      <c r="L92" s="60" t="s">
        <v>272</v>
      </c>
    </row>
    <row r="93" spans="1:12">
      <c r="A93" s="35" t="s">
        <v>12</v>
      </c>
      <c r="B93" s="35" t="s">
        <v>266</v>
      </c>
      <c r="C93" s="96" t="s">
        <v>14</v>
      </c>
      <c r="D93" s="97" t="s">
        <v>106</v>
      </c>
      <c r="E93" s="59" t="s">
        <v>273</v>
      </c>
      <c r="F93" s="36" t="s">
        <v>17</v>
      </c>
      <c r="G93" s="37" t="s">
        <v>93</v>
      </c>
      <c r="H93" s="125">
        <v>1</v>
      </c>
      <c r="I93" s="39">
        <v>0</v>
      </c>
      <c r="J93" s="40">
        <f t="shared" si="7"/>
        <v>1</v>
      </c>
      <c r="K93" s="121" t="s">
        <v>274</v>
      </c>
      <c r="L93" s="60" t="s">
        <v>275</v>
      </c>
    </row>
    <row r="94" spans="1:12" ht="15" thickBot="1">
      <c r="A94" s="35" t="s">
        <v>12</v>
      </c>
      <c r="B94" s="35" t="s">
        <v>276</v>
      </c>
      <c r="C94" s="96" t="s">
        <v>14</v>
      </c>
      <c r="D94" s="99" t="s">
        <v>61</v>
      </c>
      <c r="E94" s="63" t="s">
        <v>273</v>
      </c>
      <c r="F94" s="46" t="s">
        <v>17</v>
      </c>
      <c r="G94" s="47" t="s">
        <v>18</v>
      </c>
      <c r="H94" s="126">
        <v>1</v>
      </c>
      <c r="I94" s="49">
        <v>0</v>
      </c>
      <c r="J94" s="50">
        <f>I94+H94</f>
        <v>1</v>
      </c>
      <c r="K94" s="64" t="s">
        <v>277</v>
      </c>
      <c r="L94" s="65" t="s">
        <v>278</v>
      </c>
    </row>
  </sheetData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FED6D-D6BE-4947-B12A-22429F07DA0C}">
  <dimension ref="B6:E15"/>
  <sheetViews>
    <sheetView workbookViewId="0">
      <selection activeCell="D20" sqref="D20"/>
    </sheetView>
  </sheetViews>
  <sheetFormatPr defaultRowHeight="14.4"/>
  <cols>
    <col min="2" max="3" width="16.33203125" customWidth="1"/>
    <col min="4" max="4" width="115.33203125" customWidth="1"/>
    <col min="5" max="5" width="24.6640625" customWidth="1"/>
  </cols>
  <sheetData>
    <row r="6" spans="2:5">
      <c r="B6" s="149" t="s">
        <v>312</v>
      </c>
      <c r="C6" s="150" t="s">
        <v>71</v>
      </c>
      <c r="D6" s="151" t="s">
        <v>72</v>
      </c>
    </row>
    <row r="7" spans="2:5">
      <c r="B7" s="149" t="s">
        <v>315</v>
      </c>
      <c r="C7" s="150" t="s">
        <v>291</v>
      </c>
      <c r="D7" s="151" t="s">
        <v>292</v>
      </c>
    </row>
    <row r="8" spans="2:5">
      <c r="B8" s="149" t="s">
        <v>310</v>
      </c>
      <c r="C8" s="150" t="s">
        <v>293</v>
      </c>
      <c r="D8" s="151" t="s">
        <v>294</v>
      </c>
    </row>
    <row r="9" spans="2:5">
      <c r="B9" s="149" t="s">
        <v>309</v>
      </c>
      <c r="C9" s="150" t="s">
        <v>295</v>
      </c>
      <c r="D9" s="151" t="s">
        <v>296</v>
      </c>
    </row>
    <row r="10" spans="2:5">
      <c r="B10" s="149" t="s">
        <v>311</v>
      </c>
      <c r="C10" s="147" t="s">
        <v>298</v>
      </c>
      <c r="D10" s="152" t="s">
        <v>299</v>
      </c>
    </row>
    <row r="11" spans="2:5">
      <c r="B11" s="149" t="s">
        <v>316</v>
      </c>
      <c r="C11" s="147" t="s">
        <v>291</v>
      </c>
      <c r="D11" s="152" t="s">
        <v>300</v>
      </c>
    </row>
    <row r="12" spans="2:5">
      <c r="B12" s="149" t="s">
        <v>313</v>
      </c>
      <c r="C12" s="147" t="s">
        <v>301</v>
      </c>
      <c r="D12" s="152" t="s">
        <v>302</v>
      </c>
    </row>
    <row r="13" spans="2:5">
      <c r="B13" s="149" t="s">
        <v>314</v>
      </c>
      <c r="C13" s="148" t="s">
        <v>303</v>
      </c>
      <c r="D13" s="153" t="s">
        <v>304</v>
      </c>
    </row>
    <row r="14" spans="2:5" ht="15" thickBot="1"/>
    <row r="15" spans="2:5" ht="15" thickBot="1">
      <c r="C15" s="143" t="s">
        <v>305</v>
      </c>
      <c r="D15" s="144" t="s">
        <v>306</v>
      </c>
      <c r="E15" t="s">
        <v>308</v>
      </c>
    </row>
  </sheetData>
  <phoneticPr fontId="1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Turkuaz_BOM</vt:lpstr>
      <vt:lpstr>Ekstra 8 Ürün 120x 280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Zeynep Urper</dc:creator>
  <cp:lastModifiedBy>Zeynep Urper</cp:lastModifiedBy>
  <dcterms:created xsi:type="dcterms:W3CDTF">2026-03-25T12:06:24Z</dcterms:created>
  <dcterms:modified xsi:type="dcterms:W3CDTF">2026-04-05T11:17:50Z</dcterms:modified>
</cp:coreProperties>
</file>